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ru Cheng\Dropbox\2022 Academia Sinica\non-research\2026鳥蛋展覽\全球鳥蛋博物館地圖\antigravity\global-egg-dataset-main\"/>
    </mc:Choice>
  </mc:AlternateContent>
  <xr:revisionPtr revIDLastSave="0" documentId="13_ncr:1_{4DC141DE-BB60-4A60-84A0-0243F1CE1286}" xr6:coauthVersionLast="47" xr6:coauthVersionMax="47" xr10:uidLastSave="{00000000-0000-0000-0000-000000000000}"/>
  <bookViews>
    <workbookView xWindow="7680" yWindow="-163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2" i="1"/>
</calcChain>
</file>

<file path=xl/sharedStrings.xml><?xml version="1.0" encoding="utf-8"?>
<sst xmlns="http://schemas.openxmlformats.org/spreadsheetml/2006/main" count="1833" uniqueCount="940">
  <si>
    <t>Museum</t>
  </si>
  <si>
    <t>Museum_country</t>
  </si>
  <si>
    <t>Latitude</t>
  </si>
  <si>
    <t>Longitude</t>
  </si>
  <si>
    <t>Country</t>
  </si>
  <si>
    <t>Region</t>
  </si>
  <si>
    <t>The Natural History Museum</t>
  </si>
  <si>
    <t>Western Foundation of Vertebrate Zoology</t>
  </si>
  <si>
    <t>Zoologisches Forschungsinstitut und Museum Alexander Koenig</t>
  </si>
  <si>
    <t>Museum für Naturkunde</t>
  </si>
  <si>
    <t>National Museums Scotland</t>
  </si>
  <si>
    <t>Naturalis, Nationaal Natuurhistorisch Museum(荷蘭萊登自然史博物館)(Naturalis Biodiversity Center)</t>
  </si>
  <si>
    <t>Delaware Museum of Natural History</t>
  </si>
  <si>
    <t>National Museum of Natural History</t>
  </si>
  <si>
    <t>Finnish Museum of Natural History</t>
  </si>
  <si>
    <t>Naturhistoriska Riksmuseet</t>
  </si>
  <si>
    <t>San Bernardino County Museum</t>
  </si>
  <si>
    <t>Hungarian egg collections</t>
  </si>
  <si>
    <t>Zentralmagazin Naturwissenschaftlicher Sammlungen, Martin Luther University Halle-Wittenberg</t>
  </si>
  <si>
    <t>Field Museum of Natural History</t>
  </si>
  <si>
    <t>Australian Museum</t>
  </si>
  <si>
    <t>Staatliches Naturhistorisches Museum</t>
  </si>
  <si>
    <t>Zoologicheskii Institut</t>
  </si>
  <si>
    <t>Muséum d’Histoire Naturelle de Genève</t>
  </si>
  <si>
    <t>Zoologisk Museum</t>
  </si>
  <si>
    <t>American Museum of Natural History</t>
  </si>
  <si>
    <t>Senckenberg Naturhistorische Sammlungen</t>
  </si>
  <si>
    <t>Royal Alberta Museum</t>
  </si>
  <si>
    <t>Museum of Vertebrate Zoology</t>
  </si>
  <si>
    <t>Peabody Museum of Natural History, Yale University</t>
  </si>
  <si>
    <t>Naturhistorisches Museum Wien</t>
  </si>
  <si>
    <t>Liverpool Museum</t>
  </si>
  <si>
    <t>Oxfordshire County Council Museums</t>
  </si>
  <si>
    <t>University of Wisconsin-Green Bay</t>
  </si>
  <si>
    <t>Niedersächsisches Landesmuseum</t>
  </si>
  <si>
    <t>Museum of Comparative Zoology, Harvard University</t>
  </si>
  <si>
    <t>The Manchester Museum</t>
  </si>
  <si>
    <t>Royal Ontario Museum</t>
  </si>
  <si>
    <t>Florida Museum of Natural History</t>
  </si>
  <si>
    <t>Staatliches Museum für Naturkunde</t>
  </si>
  <si>
    <t>LWL-Museum für Naturkunde</t>
  </si>
  <si>
    <t>Zoological Museum</t>
  </si>
  <si>
    <t>Naturhistoriska Museet</t>
  </si>
  <si>
    <t>Glasgow Art Gallery and Museum (Univ. of Glasgow)</t>
  </si>
  <si>
    <t>Great North Museum: Hancock</t>
  </si>
  <si>
    <t>Booth Museum of Natural History</t>
  </si>
  <si>
    <t>Santa Barbara Museum of Natural History****</t>
  </si>
  <si>
    <t>Carnegie Museum of Natural History</t>
  </si>
  <si>
    <t>Ditsong National Museum of Natural History</t>
  </si>
  <si>
    <t>Naturhistorisches Museum Bern</t>
  </si>
  <si>
    <t>Muséum d’Histoire Naturelle de Nantes</t>
  </si>
  <si>
    <t>National Museum and Galeries of Wales</t>
  </si>
  <si>
    <t>University Museum of Zoology</t>
  </si>
  <si>
    <t>Natural History Museum of Zimbabwe</t>
  </si>
  <si>
    <t>California Academy of Sciences</t>
  </si>
  <si>
    <t>Museum Heineanum</t>
  </si>
  <si>
    <t>Zoologische Sammlung, Technische Universität</t>
  </si>
  <si>
    <t>South Australian Museum</t>
  </si>
  <si>
    <t>Museum Victoria</t>
  </si>
  <si>
    <t>University of Massachusetts</t>
  </si>
  <si>
    <t>Deutsches Meeresmuseum</t>
  </si>
  <si>
    <t>New York State Museum</t>
  </si>
  <si>
    <t>Bolton Museums</t>
  </si>
  <si>
    <t>Clemson University</t>
  </si>
  <si>
    <t>Naturkundemuseum Leipzig</t>
  </si>
  <si>
    <t>Forschungsinstitut und Naturmuseum Senckenberg</t>
  </si>
  <si>
    <t>Národní Muzeum</t>
  </si>
  <si>
    <t>Muséum National d’Histoire Naturelle</t>
  </si>
  <si>
    <t>Zoölogisch Museum</t>
  </si>
  <si>
    <t>Reading Public Museum and Art Gallery</t>
  </si>
  <si>
    <t>Centrum für Naturkunde der Universität Hamburg</t>
  </si>
  <si>
    <t>Naturkundemuseum Potsdam</t>
  </si>
  <si>
    <t>Burke Memorial Washington State Museum</t>
  </si>
  <si>
    <t>Instituto de Investigaciones de Recursos Biológicos "Alexander von Humboldt"</t>
  </si>
  <si>
    <t>Puget Sound Museum of Natural History (now: Slater Museum of Natural History)</t>
  </si>
  <si>
    <t>Naturhistorisches Museum Rudolstadt</t>
  </si>
  <si>
    <t>Illinois State Museum</t>
  </si>
  <si>
    <t>Ohio State University</t>
  </si>
  <si>
    <t>Denver Museum of Natural History****</t>
  </si>
  <si>
    <t>Australian National Wildlife Collection</t>
  </si>
  <si>
    <t xml:space="preserve">University of Michigan Museum of Zoology </t>
  </si>
  <si>
    <t>Müritzeum</t>
  </si>
  <si>
    <t>National Museum of Canada</t>
  </si>
  <si>
    <t>Snyder, Barton, M. (private collection)</t>
  </si>
  <si>
    <t>Charleston Museum</t>
  </si>
  <si>
    <t>Stovall Museum of Science and History (now: Sam Noble Oklahoma Museum of Natural History)</t>
  </si>
  <si>
    <t>Biologie Zentrum des Oberösterreichisches Landesmuseums</t>
  </si>
  <si>
    <t>Tullie House Museum and Art Gallery</t>
  </si>
  <si>
    <t>Welder Wildlife Foundation</t>
  </si>
  <si>
    <t>Übersee-Museum</t>
  </si>
  <si>
    <t>Herbert Art Gallery and Museum</t>
  </si>
  <si>
    <t>Muzeum J. A. Komenského</t>
  </si>
  <si>
    <t>Zooloogia Muuseum</t>
  </si>
  <si>
    <t>Naturkunde-Museum Coburg</t>
  </si>
  <si>
    <t>Leeds Museum Discovery Centre</t>
  </si>
  <si>
    <t>Zaklad Zoologii Systematycznej i Doswiadczalnej (Institute of Systematics and Evolution of Animals)</t>
  </si>
  <si>
    <t>Tulsa Zoological Park</t>
  </si>
  <si>
    <t>Aquazoo Löbbecke Museum</t>
  </si>
  <si>
    <t>Universitetsmuseet i Bergen</t>
  </si>
  <si>
    <t>Niedersächsisches Landesmuseum Natur und Mensch</t>
  </si>
  <si>
    <t>Icelandic Institute of Natural History</t>
  </si>
  <si>
    <t>Museo Civico di Storia Naturale</t>
  </si>
  <si>
    <t>Brigham Young University</t>
  </si>
  <si>
    <t>Bristol Museums and Art Gallery Service</t>
  </si>
  <si>
    <t>Neotropical Ornithological Foundation</t>
  </si>
  <si>
    <t>Senckenberg Museum für Naturkunde</t>
  </si>
  <si>
    <t>Museu de Zoologia da USP</t>
  </si>
  <si>
    <t>University of Nevada - Reno</t>
  </si>
  <si>
    <t>Saffron Walden Museum</t>
  </si>
  <si>
    <t>Zoologisches Museum der Universität Greifswald</t>
  </si>
  <si>
    <t>Milwaukee Public Museum</t>
  </si>
  <si>
    <t>British Columbia Provincial Museum</t>
  </si>
  <si>
    <t>Virginia Polytechnic Institute and University</t>
  </si>
  <si>
    <t>Anniston Museum of Natural History</t>
  </si>
  <si>
    <t>Cleveland Museum of Natural History</t>
  </si>
  <si>
    <t>Musée zoologique de l’Université Louis Pasteur et de la Ville de Strasbourg</t>
  </si>
  <si>
    <t>Muzeum Przyrodnicze</t>
  </si>
  <si>
    <t>Oxford University Museumm of Natural History</t>
  </si>
  <si>
    <t>Muséum d’Histoire Naturelle de Neuchâtel</t>
  </si>
  <si>
    <t>Museum of Natural History - University of Kansas</t>
  </si>
  <si>
    <t>Cornell University</t>
  </si>
  <si>
    <t>Durban Natural Science Museum</t>
  </si>
  <si>
    <t>Muséum d’Histoire Naturelle de Toulouse</t>
  </si>
  <si>
    <t>Queensland Museum</t>
  </si>
  <si>
    <t>Cowan Vertebrate Museum</t>
  </si>
  <si>
    <t>Universitets Museet i Tromsø</t>
  </si>
  <si>
    <t>University of Arkansas</t>
  </si>
  <si>
    <t>Western Australian Museum</t>
  </si>
  <si>
    <t>Science Museum</t>
  </si>
  <si>
    <t>Koninklijk Museum voor Midden-Afrika</t>
  </si>
  <si>
    <t>University of Turku Zoological Museum</t>
  </si>
  <si>
    <t>Royal Albert Memorial Museum and Art Gallery</t>
  </si>
  <si>
    <t>University of Colorado Museum of Natural History</t>
  </si>
  <si>
    <t>Tel-Aviv University Zoological Museum</t>
  </si>
  <si>
    <t>James Ford Bell Museum of Natural History - Parmelle, Dr. David Private Collection</t>
  </si>
  <si>
    <t>Zemaljski Muzej Bosne i Hercegovina Sarajevo</t>
  </si>
  <si>
    <t>State Museum, University of Nebraska</t>
  </si>
  <si>
    <t>Estacíon Biologica de Doñana</t>
  </si>
  <si>
    <t>Upper Silesian Museum</t>
  </si>
  <si>
    <t>Otago Museum</t>
  </si>
  <si>
    <t>Museum der Westlausitz</t>
  </si>
  <si>
    <t>Muzeul de Istorie Naturala / Museum of Natural History ‘Grigore Antipa of Natural History ‘Grigore Antipa</t>
  </si>
  <si>
    <t>Vychodoslovenské Muzéum Kosice</t>
  </si>
  <si>
    <t>Chicago Academy of Sciences</t>
  </si>
  <si>
    <t>Auckland Museum</t>
  </si>
  <si>
    <t>Museum am Schölerberg</t>
  </si>
  <si>
    <t>Corpus Christi Museum of Science and History</t>
  </si>
  <si>
    <t>Museu de História Natural–Museu Zoológico, Faculdade de Ciências e Tecnologia da Universidade de Coimbra</t>
  </si>
  <si>
    <t>Museum of New Zealand</t>
  </si>
  <si>
    <t>Landesmuseum Wiesbaden</t>
  </si>
  <si>
    <t>Musée Henri Dupuis</t>
  </si>
  <si>
    <t>Museo Argentino de Ciencias Naturales</t>
  </si>
  <si>
    <t>Museu Nacional</t>
  </si>
  <si>
    <t>Darwin Museum</t>
  </si>
  <si>
    <t>Birmingham Museum and Art Gallery</t>
  </si>
  <si>
    <t>University of Iowa Museum of Natural History</t>
  </si>
  <si>
    <t>Fairbanks Museum</t>
  </si>
  <si>
    <t>Museum of Natural History, University of Oregon</t>
  </si>
  <si>
    <t>Pfalzmuseum für Naturkunde Pollichia</t>
  </si>
  <si>
    <t>Musée de Zoologie</t>
  </si>
  <si>
    <t>Shropshire County Museum Service</t>
  </si>
  <si>
    <t>de la Peña, Martín (private collection)</t>
  </si>
  <si>
    <t>University of Arizona Museum of Natural History</t>
  </si>
  <si>
    <t>Naturhistorisches Museum Mainz</t>
  </si>
  <si>
    <t>Boston Museum of Science</t>
  </si>
  <si>
    <t>Kaunas Zoological Museum</t>
  </si>
  <si>
    <t>Ornithological Museum</t>
  </si>
  <si>
    <t>Queen Victoria Museum and Art Gallery</t>
  </si>
  <si>
    <t>Zoologische Staatssammlung</t>
  </si>
  <si>
    <t>Naturwissenschaftliches Museum</t>
  </si>
  <si>
    <t>Instituto Miguel Lillo</t>
  </si>
  <si>
    <t>Sarisske Museum</t>
  </si>
  <si>
    <t>Zoologisches Museum der Universität Zürich-Irchel</t>
  </si>
  <si>
    <t>University of Connecticut, Biodiversity Research Collections</t>
  </si>
  <si>
    <t>University of Wisconsin-Madison</t>
  </si>
  <si>
    <t>University of Saskatchewan</t>
  </si>
  <si>
    <t>Lyzeum</t>
  </si>
  <si>
    <t>Museum of Natural History, University of Illinois at Urbana-Champaign</t>
  </si>
  <si>
    <t>University of New Mexico</t>
  </si>
  <si>
    <t>Musée des Confluences</t>
  </si>
  <si>
    <t>William Penn Memorial Museum</t>
  </si>
  <si>
    <t>University of the South</t>
  </si>
  <si>
    <t>Instituto de Ecología y Sistemática</t>
  </si>
  <si>
    <t>Humboldt State University</t>
  </si>
  <si>
    <t>Joseph Moore Museum, Earlham College</t>
  </si>
  <si>
    <t>Phyletisches Museum Jena</t>
  </si>
  <si>
    <t>Yorkshire Museum</t>
  </si>
  <si>
    <t>Buffalo Museum of Science</t>
  </si>
  <si>
    <t>University of Minnesota (Bell Museum)</t>
  </si>
  <si>
    <t>Muzeum Okregowe</t>
  </si>
  <si>
    <t>Adams State College</t>
  </si>
  <si>
    <t>Zavod za Ornitologiju /Institute of Ornithology</t>
  </si>
  <si>
    <t>Naturkundemuseum Erfurt</t>
  </si>
  <si>
    <t>Strecker Museum (now: Mayborn Museum)</t>
  </si>
  <si>
    <t>Coleção Ornitológica Marcelo Bagno, Universidade de Brasília</t>
  </si>
  <si>
    <t>Muzeul Brukenthal – Muzeul de Istorie Naturala</t>
  </si>
  <si>
    <t>Muséum d’Histoire Naturelle de Fribourg</t>
  </si>
  <si>
    <t>Museo de La Plata</t>
  </si>
  <si>
    <t>Zoologische Sammlung der Universität Tübingen</t>
  </si>
  <si>
    <t>Cris-River Regional Museum</t>
  </si>
  <si>
    <t>Natuurmuseum Rotterdam</t>
  </si>
  <si>
    <t>Bates College</t>
  </si>
  <si>
    <t>More, Robert L., Sr. (private collection)</t>
  </si>
  <si>
    <t>Rochester Museum and Science Center</t>
  </si>
  <si>
    <t>University of Miami</t>
  </si>
  <si>
    <t>Pacific Union College</t>
  </si>
  <si>
    <t>Macleay Museum</t>
  </si>
  <si>
    <t>The Natural History Museum, London, UK</t>
  </si>
  <si>
    <t>Western Foundation of Vertebrate Zoology, Camarillo, CA, USA</t>
  </si>
  <si>
    <t>Zoologisches Forschungsinstitut und Museum Alexander Koenig, Bonn, Germany</t>
  </si>
  <si>
    <t>Museum für Naturkunde, Berlin, Germany</t>
  </si>
  <si>
    <t>National Museums Scotland, Edinburgh, UK</t>
  </si>
  <si>
    <t>Naturalis Biodiversity Center, Leiden, Netherlands</t>
  </si>
  <si>
    <t>Delaware Museum of Natural History, Wilmington, DE, USA</t>
  </si>
  <si>
    <t>National Museum of Natural History, Washington, D.C., USA</t>
  </si>
  <si>
    <t>Finnish Museum of Natural History, Helsinki, Finland</t>
  </si>
  <si>
    <t>Naturhistoriska Riksmuseet, Stockholm, Sweden</t>
  </si>
  <si>
    <t>San Bernardino County Museum, Redlands, CA, USA</t>
  </si>
  <si>
    <t>Hungarian Natural History Museum, Budapest, Hungary</t>
  </si>
  <si>
    <t>Zentralmagazin Naturwissenschaftlicher Sammlungen, Martin Luther University, Halle-Wittenberg, Germany</t>
  </si>
  <si>
    <t>Field Museum of Natural History, Chicago, IL, USA</t>
  </si>
  <si>
    <t>Australian Museum, Sydney, Australia</t>
  </si>
  <si>
    <t>Staatliches Naturhistorisches Museum, Braunschweig, Germany</t>
  </si>
  <si>
    <t>Zoologisches Museum, Hamburg, Germany</t>
  </si>
  <si>
    <t>Muséum d’Histoire Naturelle de Genève, Geneva, Switzerland</t>
  </si>
  <si>
    <t>Zoologisk Museum, Copenhagen, Denmark</t>
  </si>
  <si>
    <t>American Museum of Natural History, New York, NY, USA</t>
  </si>
  <si>
    <t>Senckenberg Naturhistorische Sammlungen, Dresden, Germany</t>
  </si>
  <si>
    <t>Royal Alberta Museum, Edmonton, Canada</t>
  </si>
  <si>
    <t>Museum of Vertebrate Zoology, Berkeley, CA, USA</t>
  </si>
  <si>
    <t>Peabody Museum of Natural History, Yale University, New Haven, CT, USA</t>
  </si>
  <si>
    <t>Naturhistorisches Museum Wien, Vienna, Austria</t>
  </si>
  <si>
    <t>Liverpool Museum, Liverpool, UK</t>
  </si>
  <si>
    <t>Oxfordshire County Council Museums, Oxford, UK</t>
  </si>
  <si>
    <t>University of Wisconsin-Green Bay, Green Bay, WI, USA</t>
  </si>
  <si>
    <t>Niedersächsisches Landesmuseum, Hannover, Germany</t>
  </si>
  <si>
    <t>Museum of Comparative Zoology, Harvard University, Cambridge, MA, USA</t>
  </si>
  <si>
    <t>The Manchester Museum, Manchester, UK</t>
  </si>
  <si>
    <t>Royal Ontario Museum, Toronto, Canada</t>
  </si>
  <si>
    <t>Florida Museum of Natural History, Gainesville, FL, USA</t>
  </si>
  <si>
    <t>Staatliches Museum für Naturkunde, Stuttgart, Germany</t>
  </si>
  <si>
    <t>LWL-Museum für Naturkunde, Münster, Germany</t>
  </si>
  <si>
    <t>Zoological Museum, St. Petersburg, Russia</t>
  </si>
  <si>
    <t>Naturhistoriska Museet, Oslo, Norway</t>
  </si>
  <si>
    <t>Glasgow Art Gallery and Museum (Univ. of Glasgow), Glasgow, UK</t>
  </si>
  <si>
    <t>Great North Museum: Hancock, Newcastle, UK</t>
  </si>
  <si>
    <t>Booth Museum of Natural History, Brighton, UK</t>
  </si>
  <si>
    <t>Santa Barbara Museum of Natural History, Santa Barbara, CA, USA</t>
  </si>
  <si>
    <t>Carnegie Museum of Natural History, Pittsburgh, PA, USA</t>
  </si>
  <si>
    <t>Ditsong National Museum of Natural History, Pretoria, South Africa</t>
  </si>
  <si>
    <t>Naturhistorisches Museum Bern, Bern, Switzerland</t>
  </si>
  <si>
    <t>Muséum d’Histoire Naturelle de Nantes, Nantes, France</t>
  </si>
  <si>
    <t>Zoological Museum, Moscow, Russia</t>
  </si>
  <si>
    <t>National Museum and Galleries of Wales, Cardiff, UK</t>
  </si>
  <si>
    <t>University Museum of Zoology, Cambridge, UK</t>
  </si>
  <si>
    <t>Natural History Museum of Zimbabwe, Bulawayo, Zimbabwe</t>
  </si>
  <si>
    <t>California Academy of Sciences, San Francisco, CA, USA</t>
  </si>
  <si>
    <t>Museum Heineanum, Halberstadt, Germany</t>
  </si>
  <si>
    <t>Zoologische Sammlung, Technische Universität, Dresden, Germany</t>
  </si>
  <si>
    <t>South Australian Museum, Adelaide, Australia</t>
  </si>
  <si>
    <t>Museum Victoria, Melbourne, Australia</t>
  </si>
  <si>
    <t>University of Massachusetts, Amherst, MA, USA</t>
  </si>
  <si>
    <t>Deutsches Meeresmuseum, Stralsund, Germany</t>
  </si>
  <si>
    <t>New York State Museum, Albany, NY, USA</t>
  </si>
  <si>
    <t>Bolton Museums, Bolton, UK</t>
  </si>
  <si>
    <t>Clemson University, Clemson, SC, USA</t>
  </si>
  <si>
    <t>Naturkundemuseum Leipzig, Leipzig, Germany</t>
  </si>
  <si>
    <t>Forschungsinstitut und Naturmuseum Senckenberg, Frankfurt, Germany</t>
  </si>
  <si>
    <t>Národní Muzeum, Prague, Czech Republic</t>
  </si>
  <si>
    <t>Muséum National d’Histoire Naturelle, Paris, France</t>
  </si>
  <si>
    <t>Zoölogisch Museum, Amsterdam, Netherlands</t>
  </si>
  <si>
    <t>Reading Public Museum and Art Gallery, Reading, UK</t>
  </si>
  <si>
    <t>Centrum für Naturkunde der Universität Hamburg, Hamburg, Germany</t>
  </si>
  <si>
    <t>Naturkundemuseum Potsdam, Potsdam, Germany</t>
  </si>
  <si>
    <t>Burke Memorial Washington State Museum, Seattle, WA, USA</t>
  </si>
  <si>
    <t>Instituto de Investigaciones de Recursos Biológicos 'Alexander von Humboldt', Bogota, Colombia</t>
  </si>
  <si>
    <t>Puget Sound Museum of Natural History (now: Slater Museum of Natural History), Tacoma, WA, USA</t>
  </si>
  <si>
    <t>Naturhistorisches Museum Rudolstadt, Rudolstadt, Germany</t>
  </si>
  <si>
    <t>Illinois State Museum, Springfield, IL, USA</t>
  </si>
  <si>
    <t>Ohio State University, Columbus, OH, USA</t>
  </si>
  <si>
    <t>Denver Museum of Natural History****, Denver, CO, USA</t>
  </si>
  <si>
    <t>Australian National Wildlife Collection, Canberra, Australia</t>
  </si>
  <si>
    <t>University of Michigan Museum of Zoology, Ann Arbor, MI, USA</t>
  </si>
  <si>
    <t>Müritzeum, Waren (Müritz), Germany</t>
  </si>
  <si>
    <t>National Museum of Canada, Ottawa, Canada</t>
  </si>
  <si>
    <t>Snyder, Barton, M. (private collection), USA</t>
  </si>
  <si>
    <t>Charleston Museum, Charleston, SC, USA</t>
  </si>
  <si>
    <t>Stovall Museum of Science and History (now: Sam Noble Oklahoma Museum of Natural History), Norman, OK, USA</t>
  </si>
  <si>
    <t>Biologie Zentrum des Oberösterreichisches Landesmuseums, Linz, Austria</t>
  </si>
  <si>
    <t>Tullie House Museum and Art Gallery, Carlisle, UK</t>
  </si>
  <si>
    <t>Welder Wildlife Foundation, Sinton, TX, USA</t>
  </si>
  <si>
    <t>Übersee-Museum, Bremen, Germany</t>
  </si>
  <si>
    <t>Herbert Art Gallery and Museum, Coventry, UK</t>
  </si>
  <si>
    <t>Muzeum J. A. Komenského, Prague, Czech Republic</t>
  </si>
  <si>
    <t>Zooloogia Muuseum, Tartu, Estonia</t>
  </si>
  <si>
    <t>Naturkunde-Museum Coburg, Coburg, Germany</t>
  </si>
  <si>
    <t>Leeds Museum Discovery Centre, Leeds, UK</t>
  </si>
  <si>
    <t>Zaklad Zoologii Systematycznej i Doswiadczalnej (Institute of Systematics and Evolution of Animals), Krakow, Poland</t>
  </si>
  <si>
    <t>Tulsa Zoological Park, Tulsa, OK, USA</t>
  </si>
  <si>
    <t>Aquazoo Löbbecke Museum, Düsseldorf, Germany</t>
  </si>
  <si>
    <t>Universitetsmuseet i Bergen, Bergen, Norway</t>
  </si>
  <si>
    <t>Niedersächsisches Landesmuseum Natur und Mensch, Oldenburg, Germany</t>
  </si>
  <si>
    <t>Icelandic Institute of Natural History, Reykjavik, Iceland</t>
  </si>
  <si>
    <t>Museo Civico di Storia Naturale, Milan, Italy</t>
  </si>
  <si>
    <t>Brigham Young University, Provo, UT, USA</t>
  </si>
  <si>
    <t>Bristol Museums and Art Gallery Service, Bristol, UK</t>
  </si>
  <si>
    <t>Neotropical Ornithological Foundation, Cali, Colombia</t>
  </si>
  <si>
    <t>Senckenberg Museum für Naturkunde, Görlitz, Germany</t>
  </si>
  <si>
    <t>Museu de Zoologia da USP, São Paulo, Brazil</t>
  </si>
  <si>
    <t>University of Nevada - Reno, Reno, NV, USA</t>
  </si>
  <si>
    <t>Saffron Walden Museum, Saffron Walden, UK</t>
  </si>
  <si>
    <t>Zoologisches Museum der Universität Greifswald, Greifswald, Germany</t>
  </si>
  <si>
    <t>Milwaukee Public Museum, Milwaukee, WI, USA</t>
  </si>
  <si>
    <t>British Columbia Provincial Museum, Victoria, Canada</t>
  </si>
  <si>
    <t>Virginia Polytechnic Institute and University, Blacksburg, VA, USA</t>
  </si>
  <si>
    <t>Anniston Museum of Natural History, Anniston, AL, USA</t>
  </si>
  <si>
    <t>Cleveland Museum of Natural History, Cleveland, OH, USA</t>
  </si>
  <si>
    <t>Musée zoologique de l’Université Louis Pasteur et de la Ville de Strasbourg, Strasbourg, France</t>
  </si>
  <si>
    <t>Muzeum Przyrodnicze, Wrocław, Poland</t>
  </si>
  <si>
    <t>Oxford University Museum of Natural History, Oxford, UK</t>
  </si>
  <si>
    <t>Muséum d’Histoire Naturelle de Neuchâtel, Neuchâtel, Switzerland</t>
  </si>
  <si>
    <t>Museum of Natural History - University of Kansas, Lawrence, KS, USA</t>
  </si>
  <si>
    <t>Cornell University, Ithaca, NY, USA</t>
  </si>
  <si>
    <t>Durban Natural Science Museum, Durban, South Africa</t>
  </si>
  <si>
    <t>Muséum d’Histoire Naturelle de Toulouse, Toulouse, France</t>
  </si>
  <si>
    <t>Queensland Museum, Brisbane, Australia</t>
  </si>
  <si>
    <t>Cowan Vertebrate Museum, Vancouver, Canada</t>
  </si>
  <si>
    <t>Universitets Museet i Tromsø, Tromsø, Norway</t>
  </si>
  <si>
    <t>University of Arkansas, Fayetteville, AR, USA</t>
  </si>
  <si>
    <t>Western Australian Museum, Perth, Australia</t>
  </si>
  <si>
    <t>Science Museum, London, UK</t>
  </si>
  <si>
    <t>Koninklijk Museum voor Midden-Afrika, Tervuren, Belgium</t>
  </si>
  <si>
    <t>University of Turku Zoological Museum, Turku, Finland</t>
  </si>
  <si>
    <t>Royal Albert Memorial Museum and Art Gallery, Exeter, UK</t>
  </si>
  <si>
    <t>University of Colorado Museum of Natural History, Boulder, CO, USA</t>
  </si>
  <si>
    <t>Tel-Aviv University Zoological Museum, Tel Aviv, Israel</t>
  </si>
  <si>
    <t>James Ford Bell Museum of Natural History - Parmelle, Dr. David Private Collection, Minneapolis, MN, USA</t>
  </si>
  <si>
    <t>Zemaljski Muzej Bosne i Hercegovina Sarajevo, Sarajevo, Bosnia and Herzegovina</t>
  </si>
  <si>
    <t>State Museum, University of Nebraska, Lincoln, NE, USA</t>
  </si>
  <si>
    <t>Estacíon Biologica de Doñana, Seville, Spain</t>
  </si>
  <si>
    <t>Upper Silesian Museum, Bytom, Poland</t>
  </si>
  <si>
    <t>Otago Museum, Dunedin, New Zealand</t>
  </si>
  <si>
    <t>Museum für Naturkunde, Stuttgart, Germany</t>
  </si>
  <si>
    <t>Museum der Westlausitz, Kamenz, Germany</t>
  </si>
  <si>
    <t>Muzeul de Istorie Naturala / Museum of Natural History ‘Grigore Antipa of Natural History ‘Grigore Antipa, Bucharest, Romania</t>
  </si>
  <si>
    <t>Vychodoslovenské Muzéum Kosice, Košice, Slovakia</t>
  </si>
  <si>
    <t>Chicago Academy of Sciences, Chicago, IL, USA</t>
  </si>
  <si>
    <t>Auckland Museum, Auckland, New Zealand</t>
  </si>
  <si>
    <t>Museum am Schölerberg, Osnabrück, Germany</t>
  </si>
  <si>
    <t>Corpus Christi Museum of Science and History, Corpus Christi, TX, USA</t>
  </si>
  <si>
    <t>Museu de História Natural–Museu Zoológico, Faculdade de Ciências e Tecnologia da Universidade de Coimbra, Coimbra, Portugal</t>
  </si>
  <si>
    <t>Museum of New Zealand, Wellington, New Zealand</t>
  </si>
  <si>
    <t>Landesmuseum Wiesbaden, Wiesbaden, Germany</t>
  </si>
  <si>
    <t>Musée Henri Dupuis, Saint-Omer, France</t>
  </si>
  <si>
    <t>Museo Argentino de Ciencias Naturales, Buenos Aires, Argentina</t>
  </si>
  <si>
    <t>Museu Nacional, Rio de Janeiro, Brazil</t>
  </si>
  <si>
    <t>Darwin Museum, Moscow, Russia</t>
  </si>
  <si>
    <t>Birmingham Museum and Art Gallery, Birmingham, UK</t>
  </si>
  <si>
    <t>University of Iowa Museum of Natural History, Iowa City, IA, USA</t>
  </si>
  <si>
    <t>Fairbanks Museum, St. Johnsbury, VT, USA</t>
  </si>
  <si>
    <t>Museum of Natural History, University of Oregon, Eugene, OR, USA</t>
  </si>
  <si>
    <t>Pfalzmuseum für Naturkunde Pollichia, Bad Dürkheim, Germany</t>
  </si>
  <si>
    <t>Musée de Zoologie, Lausanne, Switzerland</t>
  </si>
  <si>
    <t>Shropshire County Museum Service, Shrewsbury, UK</t>
  </si>
  <si>
    <t>de la Peña, Martín (private collection), Argentina</t>
  </si>
  <si>
    <t>University of Arizona Museum of Natural History, Tucson, AZ, USA</t>
  </si>
  <si>
    <t>Naturhistorisches Museum Mainz, Mainz, Germany</t>
  </si>
  <si>
    <t>Boston Museum of Science, Boston, MA, USA</t>
  </si>
  <si>
    <t>Kaunas Zoological Museum, Kaunas, Lithuania</t>
  </si>
  <si>
    <t>Ornithological Museum, Rothschild, Israel</t>
  </si>
  <si>
    <t>Queen Victoria Museum and Art Gallery, Launceston, Tasmania, Australia</t>
  </si>
  <si>
    <t>Zoologische Staatssammlung, Munich, Germany</t>
  </si>
  <si>
    <t>Naturwissenschaftliches Museum, Aschaffenburg, Germany</t>
  </si>
  <si>
    <t>Instituto Miguel Lillo, San Miguel de Tucumán, Argentina</t>
  </si>
  <si>
    <t>Sarisske Museum, Bardejov, Slovakia</t>
  </si>
  <si>
    <t>Zoologisches Museum der Universität Zürich-Irchel, Zurich, Switzerland</t>
  </si>
  <si>
    <t>University of Connecticut, Biodiversity Research Collections, Storrs, CT, USA</t>
  </si>
  <si>
    <t>University of Wisconsin-Madison, Madison, WI, USA</t>
  </si>
  <si>
    <t>University of Saskatchewan, Saskatoon, Canada</t>
  </si>
  <si>
    <t>Lyzeum, Budapest, Hungary</t>
  </si>
  <si>
    <t>Museum of Natural History, University of Illinois at Urbana-Champaign, Champaign, IL, USA</t>
  </si>
  <si>
    <t>University of New Mexico, Albuquerque, NM, USA</t>
  </si>
  <si>
    <t>Musée des Confluences, Lyon, France</t>
  </si>
  <si>
    <t>William Penn Memorial Museum, Harrisburg, PA, USA</t>
  </si>
  <si>
    <t>University of the South, Sewanee, TN, USA</t>
  </si>
  <si>
    <t>Instituto de Ecología y Sistemática, Havana, Cuba</t>
  </si>
  <si>
    <t>Humboldt State University, Arcata, CA, USA</t>
  </si>
  <si>
    <t>Joseph Moore Museum, Earlham College, Richmond, IN, USA</t>
  </si>
  <si>
    <t>Phyletisches Museum Jena, Jena, Germany</t>
  </si>
  <si>
    <t>Yorkshire Museum, York, UK</t>
  </si>
  <si>
    <t>Buffalo Museum of Science, Buffalo, NY, USA</t>
  </si>
  <si>
    <t>University of Minnesota (Bell Museum), Minneapolis, MN, USA</t>
  </si>
  <si>
    <t>Muzeum Okregowe, Rzeszow, Poland</t>
  </si>
  <si>
    <t>Adams State College, Alamosa, CO, USA</t>
  </si>
  <si>
    <t>Zavod za Ornitologiju /Institute of Ornithology, Zagreb, Croatia</t>
  </si>
  <si>
    <t>Naturkundemuseum Erfurt, Erfurt, Germany</t>
  </si>
  <si>
    <t>Strecker Museum (now: Mayborn Museum), Waco, TX, USA</t>
  </si>
  <si>
    <t>Coleção Ornitológica Marcelo Bagno, Universidade de Brasília, Brazil</t>
  </si>
  <si>
    <t>Muzeul Brukenthal – Muzeul de Istorie Naturala, Sibiu, Romania</t>
  </si>
  <si>
    <t>Muséum d’Histoire Naturelle de Fribourg, Fribourg, Switzerland</t>
  </si>
  <si>
    <t>Museo de La Plata, La Plata, Argentina</t>
  </si>
  <si>
    <t>Zoologische Sammlung der Universität Tübingen, Tübingen, Germany</t>
  </si>
  <si>
    <t>Cris-River Regional Museum, Minnesota, USA</t>
  </si>
  <si>
    <t>Natuurmuseum Rotterdam, Rotterdam, Netherlands</t>
  </si>
  <si>
    <t>Bates College, Lewiston, ME, USA</t>
  </si>
  <si>
    <t>More, Robert L., Sr. (private collection), USA</t>
  </si>
  <si>
    <t>Rochester Museum and Science Center, Rochester, NY, USA</t>
  </si>
  <si>
    <t>University of Miami, Coral Gables, FL, USA</t>
  </si>
  <si>
    <t>Pacific Union College, Angwin, CA, USA</t>
  </si>
  <si>
    <t>Macleay Museum, University of Sydney, Australia</t>
  </si>
  <si>
    <t>UK</t>
  </si>
  <si>
    <t>USA</t>
  </si>
  <si>
    <t>Germany</t>
  </si>
  <si>
    <t>Netherlands</t>
  </si>
  <si>
    <t>Finland</t>
  </si>
  <si>
    <t>Sweden</t>
  </si>
  <si>
    <t>Hungary</t>
  </si>
  <si>
    <t>Australia</t>
  </si>
  <si>
    <t>Switzerland</t>
  </si>
  <si>
    <t>Denmark</t>
  </si>
  <si>
    <t>Canada</t>
  </si>
  <si>
    <t>Austria</t>
  </si>
  <si>
    <t>Russia</t>
  </si>
  <si>
    <t>Norway</t>
  </si>
  <si>
    <t>South Africa</t>
  </si>
  <si>
    <t>France</t>
  </si>
  <si>
    <t>Zimbabwe</t>
  </si>
  <si>
    <t>Czech Republic</t>
  </si>
  <si>
    <t>Colombia</t>
  </si>
  <si>
    <t>Estonia</t>
  </si>
  <si>
    <t>Poland</t>
  </si>
  <si>
    <t>Iceland</t>
  </si>
  <si>
    <t>Italy</t>
  </si>
  <si>
    <t>Brazil</t>
  </si>
  <si>
    <t>Belgium</t>
  </si>
  <si>
    <t>Israel</t>
  </si>
  <si>
    <t>Bosnia and Herzegovina</t>
  </si>
  <si>
    <t>Spain</t>
  </si>
  <si>
    <t>New Zealand</t>
  </si>
  <si>
    <t>Romania</t>
  </si>
  <si>
    <t>Slovakia</t>
  </si>
  <si>
    <t>Portugal</t>
  </si>
  <si>
    <t>Argentina</t>
  </si>
  <si>
    <t>Lithuania</t>
  </si>
  <si>
    <t>Cuba</t>
  </si>
  <si>
    <t>Croatia</t>
  </si>
  <si>
    <t>Europe</t>
  </si>
  <si>
    <t>North America</t>
  </si>
  <si>
    <t>Oceania</t>
  </si>
  <si>
    <t>Other</t>
  </si>
  <si>
    <t>Africa</t>
  </si>
  <si>
    <t>South America</t>
  </si>
  <si>
    <t>Museo Nacional de Costa Rica</t>
  </si>
  <si>
    <t>Moore Laboratory of Zoology, Occidental College</t>
  </si>
  <si>
    <t>Benedykt Dybowsky Zoological Museum of the Ivan Franko Lviv National University</t>
  </si>
  <si>
    <t>University of Texas at El Paso Biodiversity Collections</t>
  </si>
  <si>
    <t>Natuurhistorisch Museum Maastricht</t>
  </si>
  <si>
    <t>East Tennessee State University</t>
  </si>
  <si>
    <t>University of Wisconsin-Stevens Point</t>
  </si>
  <si>
    <t>Saskatchewan Museum of Natural History</t>
  </si>
  <si>
    <t>Tasmanian Museum and Art Gallery</t>
  </si>
  <si>
    <t>Institute for Nature Conservation of Vojvodina Province</t>
  </si>
  <si>
    <t>Institute for Protection of Nature of Serbia</t>
  </si>
  <si>
    <t>Moscow State University</t>
  </si>
  <si>
    <t>Coe College</t>
  </si>
  <si>
    <t>Mississippi Museum of Natural Science</t>
  </si>
  <si>
    <t>Peabody Museum of Salem [now: Peabody Essex Museum]</t>
  </si>
  <si>
    <t>Idaho State University</t>
  </si>
  <si>
    <t>Nova Scotia Museum</t>
  </si>
  <si>
    <t>Museo di Storia Naturale e del Territorio</t>
  </si>
  <si>
    <t>Florida State University</t>
  </si>
  <si>
    <t>University of Maine</t>
  </si>
  <si>
    <t>Steiermärkisches Landesmuseum Joanneum</t>
  </si>
  <si>
    <t>Museo Zoologico de ‘La Specola’</t>
  </si>
  <si>
    <t>Putnam Museum</t>
  </si>
  <si>
    <t>Zoologische Sammlung der Universität Siegen</t>
  </si>
  <si>
    <t>Manitoba Museum of Man and Nature</t>
  </si>
  <si>
    <t>Museo di Zoologia</t>
  </si>
  <si>
    <t>University of Tennessee at Martin</t>
  </si>
  <si>
    <t>17 Cuban institutions</t>
  </si>
  <si>
    <t>Zoologische Sammlung der Universität Göttingen</t>
  </si>
  <si>
    <t>Fries Natuurmuseum</t>
  </si>
  <si>
    <t>Museu Paraense Emilio Goeldi</t>
  </si>
  <si>
    <t>Museum of Zoology, Miami University</t>
  </si>
  <si>
    <t>Musée National d’Histoire Naturelle du Luxembourg</t>
  </si>
  <si>
    <t>Southend Central Museum</t>
  </si>
  <si>
    <t>Michigan State University Museum</t>
  </si>
  <si>
    <t>Mississippi State University</t>
  </si>
  <si>
    <t>Worcester Natural History Society</t>
  </si>
  <si>
    <t>Fort Worth Museum of Science and History</t>
  </si>
  <si>
    <t>Museo Civico de Storia di Carmagnola (MCCI)</t>
  </si>
  <si>
    <t>Museo Provincial de Ciencias Naturales "Florentino Ameghino"</t>
  </si>
  <si>
    <t>California State University</t>
  </si>
  <si>
    <t>Stephen F. Austin State University</t>
  </si>
  <si>
    <t>Walla Walla College</t>
  </si>
  <si>
    <t>Muséum d’Histoire Naturelle de Grenoble</t>
  </si>
  <si>
    <t>Vlastivedne Muzeum v Olomouci</t>
  </si>
  <si>
    <t>Canterbury Museum</t>
  </si>
  <si>
    <t>Cincinnati Museum of Natural History</t>
  </si>
  <si>
    <t>Colorado State University</t>
  </si>
  <si>
    <t>Museo di Storia Naturale di Terrasini</t>
  </si>
  <si>
    <t>Museo de Zoología Universidad de Costa Rica</t>
  </si>
  <si>
    <t>Naturkundliches Museum Mauritianum</t>
  </si>
  <si>
    <t>Swansea Museum</t>
  </si>
  <si>
    <t>Alabama Museum of Natural History</t>
  </si>
  <si>
    <t>Wagner Free Institute of Science</t>
  </si>
  <si>
    <t>Minot State College</t>
  </si>
  <si>
    <t>South Dakota State University</t>
  </si>
  <si>
    <t>Naturkunde-Museum Bamberg</t>
  </si>
  <si>
    <t>museum at Jelenia Góra</t>
  </si>
  <si>
    <t>Yamashina Institute of Ornithology</t>
  </si>
  <si>
    <t>Museo Nacional de Ciencias Naturales</t>
  </si>
  <si>
    <t>Museo dell’Istituto Nazionale per la Fauna Selvatica</t>
  </si>
  <si>
    <t>Colección Nacional de Aves (UNAM)</t>
  </si>
  <si>
    <t>National Museum of Republic of Tatarstan</t>
  </si>
  <si>
    <t>Museum of Natural History and Archaeology</t>
  </si>
  <si>
    <t>Museu de Ciências, Pontifícia Universidade Católica do Rio Grande do Sul</t>
  </si>
  <si>
    <t>museum at Bialywieza</t>
  </si>
  <si>
    <t>Museo Ornitologico di Scienze Naturali del Comune di Ravenna</t>
  </si>
  <si>
    <t>Museu do Ceará + Aquasis</t>
  </si>
  <si>
    <t>Fundação Zoobotânica do Rio Grande do Sul</t>
  </si>
  <si>
    <t>Instituto de Ciencias Naturales, Universidad Nacional de Colombia</t>
  </si>
  <si>
    <t>Museo Civico di Storia Naturale ‘Giacomo Doria'</t>
  </si>
  <si>
    <t>Oological bank of cuckoos</t>
  </si>
  <si>
    <t>Institut für Vogelforschung ‘Vogelwarte Helgoland’</t>
  </si>
  <si>
    <t>Museo de Ciencias Naturales y Antropológicas "Prof. Antonio Serrano"</t>
  </si>
  <si>
    <t>Museo de la Estación Biológica de Rancho Grande</t>
  </si>
  <si>
    <t>Muzeum Vychodních Czech</t>
  </si>
  <si>
    <t>Musée municipal de Semur-en-Auxois</t>
  </si>
  <si>
    <t>Zentrum für Biodokumentation des Saarlandes</t>
  </si>
  <si>
    <t>Krasnoyarsk Regional Museum</t>
  </si>
  <si>
    <t>Museo Nacional de Historia Natural</t>
  </si>
  <si>
    <t>Colección Ornitológica Phelps</t>
  </si>
  <si>
    <t>Museo de Historia Natural, Universidad La Salle</t>
  </si>
  <si>
    <t>Coleccion Bolivian de Fauna, Instituto de Ecología</t>
  </si>
  <si>
    <t>Zoological museum of Tyumen State University</t>
  </si>
  <si>
    <t>Colección Ornitológica del Centro de Investigaciones Biológicas (COCIB-UAEM), Facultad de Biologia, Universidad Autónoma del Estado de Morelos</t>
  </si>
  <si>
    <t>Museum and Art Gallery of the Northern Territory</t>
  </si>
  <si>
    <t>Coleción de Ornitologia, Museo de Historia Natural de El Salvador</t>
  </si>
  <si>
    <t>Museo de de Zoología “Alfonso L. Herrera”, Facultad de Ciencias, UNAM</t>
  </si>
  <si>
    <t>Jurica-Suchy Nature Museum at Benedictine University</t>
  </si>
  <si>
    <t>Denver Museum of Nature and Science</t>
  </si>
  <si>
    <t>The George B. Dorr Museum of Natural History, College of the Atlantic</t>
  </si>
  <si>
    <t>Sam Noble Oklahoma Museum of Natural History</t>
  </si>
  <si>
    <t>University of Wyoming Museum of Vertebrates</t>
  </si>
  <si>
    <t>Museo Nacional de Costa Rica, Costa Rica</t>
  </si>
  <si>
    <t>Costa Rica</t>
  </si>
  <si>
    <t>Moore Laboratory of Zoology, Occidental College, USA</t>
  </si>
  <si>
    <t>Benedykt Dybowsky Zoological Museum of the Ivan Franko Lviv National University, Ukraine</t>
  </si>
  <si>
    <t>Ukraine</t>
  </si>
  <si>
    <t>University of Texas at El Paso Biodiversity Collections, USA</t>
  </si>
  <si>
    <t>Natuurhistorisch Museum Maastricht, Netherlands</t>
  </si>
  <si>
    <t>East Tennessee State University, USA</t>
  </si>
  <si>
    <t>University of Wisconsin-Stevens Point, USA</t>
  </si>
  <si>
    <t>Saskatchewan Museum of Natural History, Canada</t>
  </si>
  <si>
    <t>Tasmanian Museum and Art Gallery, Australia</t>
  </si>
  <si>
    <t>Institute for Nature Conservation of Vojvodina Province, Serbia</t>
  </si>
  <si>
    <t>Serbia</t>
  </si>
  <si>
    <t>Institute for Protection of Nature of Serbia, Serbia</t>
  </si>
  <si>
    <t>Moscow State University, Russia</t>
  </si>
  <si>
    <t>Coe College, USA</t>
  </si>
  <si>
    <t>Mississippi Museum of Natural Science, USA</t>
  </si>
  <si>
    <t>Peabody Museum of Salem [now: Peabody Essex Museum], USA</t>
  </si>
  <si>
    <t>Idaho State University, USA</t>
  </si>
  <si>
    <t>Nova Scotia Museum, Canada</t>
  </si>
  <si>
    <t>Museo di Storia Naturale e del Territorio, Italy</t>
  </si>
  <si>
    <t>Florida State University, USA</t>
  </si>
  <si>
    <t>University of Maine, USA</t>
  </si>
  <si>
    <t>Steiermärkisches Landesmuseum Joanneum, Austria</t>
  </si>
  <si>
    <t>Museo Zoologico de ‘La Specola’, Italy</t>
  </si>
  <si>
    <t>Putnam Museum, USA</t>
  </si>
  <si>
    <t>Zoologische Sammlung der Universität Siegen, Germany</t>
  </si>
  <si>
    <t>Manitoba Museum of Man and Nature, Canada</t>
  </si>
  <si>
    <t>Museo di Zoologia, Italy</t>
  </si>
  <si>
    <t>University of Tennessee at Martin, USA</t>
  </si>
  <si>
    <t>Various locations in Cuba</t>
  </si>
  <si>
    <t>Zoologische Sammlung der Universität Göttingen, Germany</t>
  </si>
  <si>
    <t>Fries Natuurmuseum, Netherlands</t>
  </si>
  <si>
    <t>Museu Paraense Emilio Goeldi, Brazil</t>
  </si>
  <si>
    <t>Museum of Zoology, Miami University, USA</t>
  </si>
  <si>
    <t>Pfalzmuseum für Naturkunde Pollichia, Germany</t>
  </si>
  <si>
    <t>Musée National d’Histoire Naturelle du Luxembourg, Luxembourg</t>
  </si>
  <si>
    <t>Luxembourg</t>
  </si>
  <si>
    <t>Southend Central Museum, UK</t>
  </si>
  <si>
    <t>Michigan State University Museum, USA</t>
  </si>
  <si>
    <t>Mississippi State University, USA</t>
  </si>
  <si>
    <t>Worcester Natural History Society, USA</t>
  </si>
  <si>
    <t>Fort Worth Museum of Science and History, USA</t>
  </si>
  <si>
    <t>Museo Civico de Storia di Carmagnola (MCCI), Italy</t>
  </si>
  <si>
    <t>Museo Provincial de Ciencias Naturales "Florentino Ameghino", Argentina</t>
  </si>
  <si>
    <t>California State University, USA</t>
  </si>
  <si>
    <t>Stephen F. Austin State University, USA</t>
  </si>
  <si>
    <t>Walla Walla College, USA</t>
  </si>
  <si>
    <t>Muséum d’Histoire Naturelle de Grenoble, France</t>
  </si>
  <si>
    <t>Vlastivedne Muzeum v Olomouci, Czech Republic</t>
  </si>
  <si>
    <t>Canterbury Museum, New Zealand</t>
  </si>
  <si>
    <t>National Museum of Natural History, USA</t>
  </si>
  <si>
    <t>Cincinnati Museum of Natural History, USA</t>
  </si>
  <si>
    <t>Colorado State University, USA</t>
  </si>
  <si>
    <t>Museo di Storia Naturale di Terrasini, Italy</t>
  </si>
  <si>
    <t>Museo de Zoología Universidad de Costa Rica, Costa Rica</t>
  </si>
  <si>
    <t>Naturkundliches Museum Mauritianum, Germany</t>
  </si>
  <si>
    <t>Swansea Museum, UK</t>
  </si>
  <si>
    <t>Alabama Museum of Natural History, USA</t>
  </si>
  <si>
    <t>Wagner Free Institute of Science, USA</t>
  </si>
  <si>
    <t>Minot State College, USA</t>
  </si>
  <si>
    <t>South Dakota State University, USA</t>
  </si>
  <si>
    <t>Naturkunde-Museum Bamberg, Germany</t>
  </si>
  <si>
    <t>Museum at Jelenia Góra, Poland</t>
  </si>
  <si>
    <t>Yamashina Institute of Ornithology, Japan</t>
  </si>
  <si>
    <t>Japan</t>
  </si>
  <si>
    <t>Asia</t>
  </si>
  <si>
    <t>Zoological Museum, Russia</t>
  </si>
  <si>
    <t>Museo Nacional de Ciencias Naturales, Spain</t>
  </si>
  <si>
    <t>Museo dell’Istituto Nazionale per la Fauna Selvatica, Italy</t>
  </si>
  <si>
    <t>Colección Nacional de Aves (UNAM), Mexico</t>
  </si>
  <si>
    <t>Mexico</t>
  </si>
  <si>
    <t>National Museum of Republic of Tatarstan, Russia</t>
  </si>
  <si>
    <t>Museum of Natural History and Archaeology, Norway</t>
  </si>
  <si>
    <t>Museu de Ciências, Pontifícia Universidade Católica do Rio Grande do Sul, Brazil</t>
  </si>
  <si>
    <t>Museum at Bialowieza, Poland</t>
  </si>
  <si>
    <t>Museo Ornitologico di Scienze Naturali del Comune di Ravenna, Italy</t>
  </si>
  <si>
    <t>Museu do Ceará + Aquasis, Brazil</t>
  </si>
  <si>
    <t>Fundação Zoobotânica do Rio Grande do Sul, Brazil</t>
  </si>
  <si>
    <t>Instituto de Ciencias Naturales, Universidad Nacional de Colombia, Colombia</t>
  </si>
  <si>
    <t>Museo Civico di Storia Naturale ‘Giacomo Doria', Italy</t>
  </si>
  <si>
    <t>Oological bank of cuckoos, USA</t>
  </si>
  <si>
    <t>Institut für Vogelforschung ‘Vogelwarte Helgoland’, Germany</t>
  </si>
  <si>
    <t>Museo de Ciencias Naturales y Antropológicas 'Prof. Antonio Serrano', Argentina</t>
  </si>
  <si>
    <t>Museo de la Estación Biológica de Rancho Grande, Venezuela</t>
  </si>
  <si>
    <t>Venezuela</t>
  </si>
  <si>
    <t>Muzeum Vychodních Czech, Czech Republic</t>
  </si>
  <si>
    <t>Musée municipal de Semur-en-Auxois, France</t>
  </si>
  <si>
    <t>Zentrum für Biodokumentation des Saarlandes, Germany</t>
  </si>
  <si>
    <t>Krasnoyarsk Regional Museum, Russia</t>
  </si>
  <si>
    <t>Museo Nacional de Historia Natural, Chile</t>
  </si>
  <si>
    <t>Chile</t>
  </si>
  <si>
    <t>Colección Ornitológica Phelps, Venezuela</t>
  </si>
  <si>
    <t>Museo de Historia Natural, Universidad La Salle, Costa Rica</t>
  </si>
  <si>
    <t>Colección Boliviana de Fauna, Instituto de Ecología, Bolivia</t>
  </si>
  <si>
    <t>Bolivia</t>
  </si>
  <si>
    <t>Zoological Museum of Tyumen State University, Russia</t>
  </si>
  <si>
    <t>Colección Ornitológica del Centro de Investigaciones Biológicas (COCIB-UAEM), Facultad de Biología, Universidad Autónoma del Estado de Morelos, Mexico</t>
  </si>
  <si>
    <t>Museum and Art Gallery of the Northern Territory, Australia</t>
  </si>
  <si>
    <t>Colección de Ornitología, Museo de Historia Natural de El Salvador, El Salvador</t>
  </si>
  <si>
    <t>El Salvador</t>
  </si>
  <si>
    <t>Museo de Zoología ‘Alfonso L. Herrera’, Facultad de Ciencias, UNAM, Mexico</t>
  </si>
  <si>
    <t>Jurica-Suchy Nature Museum at Benedictine University, USA</t>
  </si>
  <si>
    <t>Denver Museum of Nature and Science, USA</t>
  </si>
  <si>
    <t>The George B. Dorr Museum of Natural History, College of the Atlantic, USA</t>
  </si>
  <si>
    <t>Sam Noble Oklahoma Museum of Natural History, USA</t>
  </si>
  <si>
    <t>University of Wyoming Museum of Vertebrates, USA</t>
  </si>
  <si>
    <t>sub-Region</t>
  </si>
  <si>
    <t>European Russia</t>
  </si>
  <si>
    <t xml:space="preserve">digitized </t>
  </si>
  <si>
    <t>egg_sets_estimated</t>
  </si>
  <si>
    <t>Taiwan Biodiversity Research Institute</t>
    <phoneticPr fontId="5" type="noConversion"/>
  </si>
  <si>
    <t>Taiwan</t>
    <phoneticPr fontId="5" type="noConversion"/>
  </si>
  <si>
    <t>Asia</t>
    <phoneticPr fontId="5" type="noConversion"/>
  </si>
  <si>
    <t>Website</t>
  </si>
  <si>
    <t>https://www.nhm.ac.uk</t>
  </si>
  <si>
    <t>https://wfvz.org</t>
  </si>
  <si>
    <t>https://www.zfmk.de</t>
  </si>
  <si>
    <t>Das Museum für Naturkunde Berlin</t>
  </si>
  <si>
    <t>https://www.nms.ac.uk</t>
  </si>
  <si>
    <t>https://www.naturalis.nl</t>
  </si>
  <si>
    <t>https://delmns.org</t>
  </si>
  <si>
    <t>https://naturalhistory.si.edu</t>
  </si>
  <si>
    <t>https://www.luomus.fi</t>
  </si>
  <si>
    <t>https://www.nrm.se</t>
  </si>
  <si>
    <t>https://www.sbcounty.gov/museum</t>
  </si>
  <si>
    <t>https://www.fieldmuseum.org</t>
  </si>
  <si>
    <t>https://www.australianmuseum.net.au</t>
  </si>
  <si>
    <t>https://www.3landesmuseen.de</t>
  </si>
  <si>
    <t>https://www.zin.ru</t>
  </si>
  <si>
    <t>https://www.amnh.org</t>
  </si>
  <si>
    <t>https://www.senckenberg.de</t>
  </si>
  <si>
    <t>https://www.royalalbertamuseum.ca</t>
  </si>
  <si>
    <t>https://mvz.berkeley.edu</t>
  </si>
  <si>
    <t>https://peabody.yale.edu</t>
  </si>
  <si>
    <t>https://www.nhm-wien.ac.at</t>
  </si>
  <si>
    <t>https://www.liverpoolmuseums.org.uk/world-museum</t>
  </si>
  <si>
    <t>https://www.uwgb.edu</t>
  </si>
  <si>
    <t>https://www.landesmuseum-hannover.de</t>
  </si>
  <si>
    <t>https://mcz.harvard.edu</t>
  </si>
  <si>
    <t>https://www.museum.manchester.ac.uk</t>
  </si>
  <si>
    <t>https://www.rom.on.ca</t>
  </si>
  <si>
    <t>https://www.floridamuseum.ufl.edu</t>
  </si>
  <si>
    <t>https://www.naturkundemuseum-bw.de</t>
  </si>
  <si>
    <t>https://www.glasgowlife.org.uk/museums</t>
  </si>
  <si>
    <t>https://greatnorthmuseum.org.uk</t>
  </si>
  <si>
    <t>https://www.sbnature.org</t>
  </si>
  <si>
    <t>https://www.ditsong.org.za</t>
  </si>
  <si>
    <t>https://www.nmbe.ch</t>
  </si>
  <si>
    <t>https://museum.wales</t>
  </si>
  <si>
    <t>https://www.museum.zoo.cam.ac.uk</t>
  </si>
  <si>
    <t>https://www.calacademy.org</t>
  </si>
  <si>
    <t>https://www.samuseum.sa.gov.au</t>
  </si>
  <si>
    <t>https://museumsvictoria.com.au</t>
  </si>
  <si>
    <t>https://www.umass.edu</t>
  </si>
  <si>
    <t>https://www.meeresmuseum.de</t>
  </si>
  <si>
    <t>https://www.nysm.nysed.gov</t>
  </si>
  <si>
    <t>https://www.boltonlams.co.uk</t>
  </si>
  <si>
    <t>https://www.clemson.edu</t>
  </si>
  <si>
    <t>https://www.naturkundemuseum.leipzig.de</t>
  </si>
  <si>
    <t>https://www.nm.cz</t>
  </si>
  <si>
    <t>https://www.mnhn.fr</t>
  </si>
  <si>
    <t>https://www.readingmuseum.org.uk</t>
  </si>
  <si>
    <t>https://www.biologie.uni-hamburg.de/en/forschung/sammlungen-und-garten/centrum-fuer-naturkunde.html</t>
  </si>
  <si>
    <t>https://www.burkemuseum.org</t>
  </si>
  <si>
    <t>https://www.humboldt.org.co</t>
  </si>
  <si>
    <t>https://www.pugetsound.edu/slater-museum</t>
  </si>
  <si>
    <t>https://www.nhm-rudolstadt.de</t>
  </si>
  <si>
    <t>https://www.illinoisstatemuseum.org</t>
  </si>
  <si>
    <t>https://www.dmns.org</t>
  </si>
  <si>
    <t>https://www.csiro.au/en/about/facilities-collections/collections/anwc</t>
  </si>
  <si>
    <t>https://lsa.umich.edu/ummz</t>
  </si>
  <si>
    <t>https://www.mueritzeum.de</t>
  </si>
  <si>
    <t>https://www.charlestonmuseum.org</t>
  </si>
  <si>
    <t>https://samnoblemuseum.ou.edu</t>
  </si>
  <si>
    <t>https://www.tulliehouse.co.uk</t>
  </si>
  <si>
    <t>https://www.welderwildlife.org</t>
  </si>
  <si>
    <t>https://www.uebersee-museum.de</t>
  </si>
  <si>
    <t>https://www.theherbert.org</t>
  </si>
  <si>
    <t>https://www.naturkunde-museum-coburg.de</t>
  </si>
  <si>
    <t>https://museumsandgalleries.leeds.gov.uk</t>
  </si>
  <si>
    <t>https://www.isez.pan.krakow.pl</t>
  </si>
  <si>
    <t>https://www.tulsazoo.org</t>
  </si>
  <si>
    <t>https://www.uib.no/universitetsmuseet</t>
  </si>
  <si>
    <t>https://www.naturundmensch.de</t>
  </si>
  <si>
    <t>https://mlbean.byu.edu</t>
  </si>
  <si>
    <t>https://www.bristolmuseums.org.uk</t>
  </si>
  <si>
    <t>https://www.unr.edu</t>
  </si>
  <si>
    <t>https://www.saffronwaldenmuseum.org</t>
  </si>
  <si>
    <t>https://www.mpm.edu</t>
  </si>
  <si>
    <t>https://www.vt.edu</t>
  </si>
  <si>
    <t>https://www.cmnh.org</t>
  </si>
  <si>
    <t>https://www.oumnh.ox.ac.uk</t>
  </si>
  <si>
    <t>https://biodiversity.ku.edu</t>
  </si>
  <si>
    <t>https://www.birds.cornell.edu</t>
  </si>
  <si>
    <t>https://www.museum.toulouse.fr</t>
  </si>
  <si>
    <t>https://www.museum.qld.gov.au</t>
  </si>
  <si>
    <t>https://uit.no/museum</t>
  </si>
  <si>
    <t>https://www.uark.edu</t>
  </si>
  <si>
    <t>https://www.museum.wa.gov.au</t>
  </si>
  <si>
    <t>https://www.sciencemuseum.org.uk</t>
  </si>
  <si>
    <t>https://www.africamuseum.be</t>
  </si>
  <si>
    <t>https://www.rammuseum.org.uk</t>
  </si>
  <si>
    <t>https://cumuseum.colorado.edu</t>
  </si>
  <si>
    <t>https://www.tau.ac.il</t>
  </si>
  <si>
    <t>https://www.bellmuseum.umn.edu</t>
  </si>
  <si>
    <t>https://www.zemaljskimuzej.ba</t>
  </si>
  <si>
    <t>https://www.museum.unl.edu</t>
  </si>
  <si>
    <t>https://www.ebd.csic.es</t>
  </si>
  <si>
    <t>https://www.muzeum.bytom.pl</t>
  </si>
  <si>
    <t>https://www.otagomuseum.nz</t>
  </si>
  <si>
    <t>https://www.museumfuernaturkunde.berlin</t>
  </si>
  <si>
    <t>https://www.museum-westlausitz.de</t>
  </si>
  <si>
    <t>https://www.antipa.ro</t>
  </si>
  <si>
    <t>https://www.vsmuzeum.sk</t>
  </si>
  <si>
    <t>https://www.naturemuseum.org</t>
  </si>
  <si>
    <t>https://www.aucklandmuseum.com</t>
  </si>
  <si>
    <t>https://www.ccmuseum.com</t>
  </si>
  <si>
    <t>https://www.tepapa.govt.nz</t>
  </si>
  <si>
    <t>https://www.museum-wiesbaden.de</t>
  </si>
  <si>
    <t>https://www.macnconicet.gob.ar</t>
  </si>
  <si>
    <t>https://www.museunacional.ufrj.br</t>
  </si>
  <si>
    <t>https://www.darwinmuseum.ru</t>
  </si>
  <si>
    <t>https://www.birminghammuseums.org.uk</t>
  </si>
  <si>
    <t>https://mnh.uiowa.edu</t>
  </si>
  <si>
    <t>https://www.fairbanksmuseum.org</t>
  </si>
  <si>
    <t>https://mnch.uoregon.edu</t>
  </si>
  <si>
    <t>https://www.arizona.edu</t>
  </si>
  <si>
    <t>https://www.mos.org</t>
  </si>
  <si>
    <t>https://www.qvmag.tas.gov.au</t>
  </si>
  <si>
    <t>https://www.zsm.mwn.de</t>
  </si>
  <si>
    <t>https://www.lillo.org.ar</t>
  </si>
  <si>
    <t>https://www.muzeumbardejov.sk</t>
  </si>
  <si>
    <t>https://biodiversity.uconn.edu</t>
  </si>
  <si>
    <t>https://www.wisc.edu</t>
  </si>
  <si>
    <t>https://www.usask.ca</t>
  </si>
  <si>
    <t>https://inhs.illinois.edu</t>
  </si>
  <si>
    <t>https://www.unm.edu</t>
  </si>
  <si>
    <t>https://www.museedesconfluences.fr</t>
  </si>
  <si>
    <t>https://statemuseumpa.org</t>
  </si>
  <si>
    <t>https://www.sewanee.edu</t>
  </si>
  <si>
    <t>https://www.humboldt.edu</t>
  </si>
  <si>
    <t>https://www.earlham.edu/joseph-moore-museum</t>
  </si>
  <si>
    <t>https://www.phyletisches-museum.uni-jena.de</t>
  </si>
  <si>
    <t>https://www.yorkshiremuseum.org.uk</t>
  </si>
  <si>
    <t>https://www.sciencebuff.org</t>
  </si>
  <si>
    <t>https://www.adams.edu</t>
  </si>
  <si>
    <t>https://www.baylor.edu/mayborn</t>
  </si>
  <si>
    <t>https://www.unb.br</t>
  </si>
  <si>
    <t>https://www.brukenthalmuseum.ro</t>
  </si>
  <si>
    <t>https://www.fr.ch/mhn</t>
  </si>
  <si>
    <t>https://www.museo.fcnym.unlp.edu.ar</t>
  </si>
  <si>
    <t>https://www.uni-tuebingen.de</t>
  </si>
  <si>
    <t>https://www.bates.edu</t>
  </si>
  <si>
    <t>https://www.rmsc.org</t>
  </si>
  <si>
    <t>https://www.miami.edu</t>
  </si>
  <si>
    <t>https://www.puc.edu</t>
  </si>
  <si>
    <t>https://sydney.edu.au/macleay</t>
  </si>
  <si>
    <t>https://www.museocostarica.go.cr</t>
  </si>
  <si>
    <t>https://research.utep.edu/biodiversity</t>
  </si>
  <si>
    <t>https://www.nhmmaastricht.nl</t>
  </si>
  <si>
    <t>https://www.etsu.edu</t>
  </si>
  <si>
    <t>https://www.uwsp.edu</t>
  </si>
  <si>
    <t>https://www.royalsaskmuseum.ca</t>
  </si>
  <si>
    <t>https://www.tmag.tas.gov.au</t>
  </si>
  <si>
    <t>https://www.zzps.rs</t>
  </si>
  <si>
    <t>https://www.coe.edu</t>
  </si>
  <si>
    <t>https://www.mdwfp.com/museum</t>
  </si>
  <si>
    <t>https://www.pem.org</t>
  </si>
  <si>
    <t>https://www.isu.edu</t>
  </si>
  <si>
    <t>https://museum.novascotia.ca</t>
  </si>
  <si>
    <t>https://www.fsu.edu</t>
  </si>
  <si>
    <t>https://www.umaine.edu</t>
  </si>
  <si>
    <t>https://www.museum-joanneum.at</t>
  </si>
  <si>
    <t>https://www.msn.unifi.it</t>
  </si>
  <si>
    <t>https://www.putnam.org</t>
  </si>
  <si>
    <t>https://www.manitobamuseum.ca</t>
  </si>
  <si>
    <t>https://www.utm.edu</t>
  </si>
  <si>
    <t>https://www.mnhn.lu</t>
  </si>
  <si>
    <t>https://www.southendmuseums.co.uk</t>
  </si>
  <si>
    <t>https://museum.msu.edu</t>
  </si>
  <si>
    <t>https://www.msstate.edu</t>
  </si>
  <si>
    <t>https://www.ecotarium.org</t>
  </si>
  <si>
    <t>https://www.fortworthmuseum.org</t>
  </si>
  <si>
    <t>https://www.calstate.edu</t>
  </si>
  <si>
    <t>https://www.sfasu.edu</t>
  </si>
  <si>
    <t>https://www.wallawalla.edu</t>
  </si>
  <si>
    <t>https://www.museum-grenoble.fr</t>
  </si>
  <si>
    <t>https://www.vmo.cz</t>
  </si>
  <si>
    <t>https://www.canterburymuseum.com</t>
  </si>
  <si>
    <t>https://www.cincymuseum.org</t>
  </si>
  <si>
    <t>https://www.colostate.edu</t>
  </si>
  <si>
    <t>https://www.mauritianum.de</t>
  </si>
  <si>
    <t>https://www.swanseamuseum.co.uk</t>
  </si>
  <si>
    <t>https://www.almnh.ua.edu</t>
  </si>
  <si>
    <t>https://www.wagnerfreeinstitute.org</t>
  </si>
  <si>
    <t>https://www.minotstateu.edu</t>
  </si>
  <si>
    <t>https://www.sdstate.edu</t>
  </si>
  <si>
    <t>https://www.muzeumkarkonoskie.pl</t>
  </si>
  <si>
    <t>https://www.yamashina.or.jp</t>
  </si>
  <si>
    <t>https://www.mncn.csic.es</t>
  </si>
  <si>
    <t>https://www.tatmuseum.ru</t>
  </si>
  <si>
    <t>https://www.ntnu.no/vitenskapsmuseet</t>
  </si>
  <si>
    <t>https://www.aquasis.org</t>
  </si>
  <si>
    <t>https://www.mnhn.cl</t>
  </si>
  <si>
    <t>https://www.utmn.ru/en</t>
  </si>
  <si>
    <t>https://www.magnt.net.au</t>
  </si>
  <si>
    <t>https://www.ben.edu/museum</t>
  </si>
  <si>
    <t>https://www.tbri.gov.tw/</t>
    <phoneticPr fontId="5" type="noConversion"/>
  </si>
  <si>
    <t>https://www.nhmus.hu/en/</t>
  </si>
  <si>
    <t>https://www.naturkundemuseum.uni-halle.de/</t>
  </si>
  <si>
    <t>https://hamburg.leibniz-lib.de/de/</t>
  </si>
  <si>
    <t>https://institutions.ville-geneve.ch/fr/mhn/</t>
  </si>
  <si>
    <t>https://snm.dk/en/article/history-zoological-museum</t>
  </si>
  <si>
    <t>https://www.lwl-naturkundemuseum-muenster.de/en/</t>
  </si>
  <si>
    <t>https://www.zin.ru/museum/</t>
  </si>
  <si>
    <t>https://www.nhm.uio.no/english/</t>
  </si>
  <si>
    <t>https://brightonmuseums.org.uk/booth-museum-of-natural-history/</t>
  </si>
  <si>
    <t>https://carnegiemnh.org/</t>
  </si>
  <si>
    <t>https://museum.nantesmetropole.fr/home.html</t>
  </si>
  <si>
    <t>https://zmmu.msu.ru/</t>
  </si>
  <si>
    <t>https://naturalhistorymuseumzimbabwe.com/</t>
  </si>
  <si>
    <t>https://www.heineanum.de/</t>
  </si>
  <si>
    <t>https://tu-dresden.de/kustodie/sammlungen/fakultaet-umweltwissenschaften/forstzoologische-sammlung?set_language=de</t>
  </si>
  <si>
    <t>https://www.zoologicalmuseum.nl/en/the-museum/</t>
  </si>
  <si>
    <t>https://www.naturkundemuseum-potsdam.de/de</t>
  </si>
  <si>
    <t>https://newark.osu.edu/</t>
  </si>
  <si>
    <t>https://nature.ca/en/</t>
  </si>
  <si>
    <t>https://www.ooekultur.at/location-detail/biodiversit%C3%A4tszentrum</t>
  </si>
  <si>
    <t>https://www.mjakub.cz/?jaz=EN</t>
  </si>
  <si>
    <t>https://natmuseum.ut.ee/et</t>
  </si>
  <si>
    <t>https://aquazoo-duesseldorf.de/</t>
  </si>
  <si>
    <t>https://www.natt.is/en</t>
  </si>
  <si>
    <t>https://ornitologianeotropical.org/</t>
  </si>
  <si>
    <t>https://mz.usp.br/en/</t>
  </si>
  <si>
    <t>https://rbcm.ca/</t>
  </si>
  <si>
    <t>https://www.musees.strasbourg.eu/</t>
  </si>
  <si>
    <t>https://muzeum-przyrodnicze.uni.wroc.pl/</t>
  </si>
  <si>
    <t>https://museum-neuchatel.ch/</t>
  </si>
  <si>
    <t>https://www.durban.org.za/artculture/museums/natural.html</t>
  </si>
  <si>
    <t>https://beatymuseum.ubc.ca/research-2/collections/cowan-tetrapod-collection/</t>
  </si>
  <si>
    <t>https://collections.utu.fi/en/zoological-museum/</t>
  </si>
  <si>
    <t>https://www.museum-am-schoelerberg.de/</t>
  </si>
  <si>
    <t>https://noticias.uc.pt/artigos/visite-a-galeria-de-zoologia-do-museu-da-ciencia/</t>
  </si>
  <si>
    <t>https://www.musees-saint-omer.fr/histoire-musee-dupuis/</t>
  </si>
  <si>
    <t>https://www.pfalzmuseum.de/</t>
  </si>
  <si>
    <t>https://natureum.ch/fr/</t>
  </si>
  <si>
    <t>https://www.shropshiremuseums.org.uk/</t>
  </si>
  <si>
    <t>https://www.mainz.de/nhm/</t>
  </si>
  <si>
    <t>https://zoomuziejus.lt/</t>
  </si>
  <si>
    <t>https://www.birds.org.il/en/birding-center/The-Israel-Ornithological-Center</t>
  </si>
  <si>
    <t>https://www.museen-aschaffenburg.de/Naturwissenschaftliches--Museum-/DE_index_1085.html</t>
  </si>
  <si>
    <t>https://www.nmz.uzh.ch/en/besucherinformation.html</t>
  </si>
  <si>
    <t>https://www.fao.org/agris/es/node/124385</t>
  </si>
  <si>
    <t>https://www.muzeum.rzeszow.pl/pl/</t>
  </si>
  <si>
    <t>https://www.info.hazu.hr/en/jedinice/zavod-za-ornitologiju-u-zagrebu/</t>
  </si>
  <si>
    <t>https://www.naturkundemuseum-erfurt.de/</t>
  </si>
  <si>
    <t>https://www.crossriverheritage.org/</t>
  </si>
  <si>
    <t>https://www.hetnatuurhistorisch.nl/</t>
  </si>
  <si>
    <t>https://www.tshaonline.org/handbook/entries/more-robert-lee</t>
  </si>
  <si>
    <t>https://moorelab.oxy.edu/</t>
  </si>
  <si>
    <t>http://zoomus.lviv.ua/</t>
  </si>
  <si>
    <t>https://zzps.rs/</t>
  </si>
  <si>
    <t>https://msu.ru/en/</t>
  </si>
  <si>
    <t>https://www.museostorianaturale.com/</t>
  </si>
  <si>
    <t>https://www.uni-siegen.de/start/news/oeffentlichkeit/468692.html</t>
  </si>
  <si>
    <t>https://www.museocivicodizoologia.it/it</t>
  </si>
  <si>
    <t>https://www.biodivmuseum.de/de/startseite/</t>
  </si>
  <si>
    <t>https://natuurmuseumfryslan.nl/?utm_source=gmb&amp;utm_medium=gmb&amp;utm_campaign=gmb&amp;utm_id=gmb&amp;utm_term=gmb&amp;utm_content=gmb</t>
  </si>
  <si>
    <t>https://www.gov.br/museugoeldi/pt-br</t>
  </si>
  <si>
    <t>https://miamioh.edu/cas/centers-institutes/hefner-museum-natural-history/</t>
  </si>
  <si>
    <t>https://www.storianaturale.org/carmagnola/ita/</t>
  </si>
  <si>
    <t>https://www.museoameghino.gob.ar/</t>
  </si>
  <si>
    <t>https://www.museoartecontemporanea.it/museo_dAumale/</t>
  </si>
  <si>
    <t>https://cibet.ucr.ac.cr/museo-de-zoologia-de-la-universidad-de-costa-rica/</t>
  </si>
  <si>
    <t>https://www.naturkundemuseum-bamberg.de/</t>
  </si>
  <si>
    <t>https://www.isprambiente.gov.it/it</t>
  </si>
  <si>
    <t>http://www.ibiologia.unam.mx/cnav/</t>
  </si>
  <si>
    <t>https://www.pucrs.br/mct/</t>
  </si>
  <si>
    <t>https://bpn.gov.pl/muzeum-przyrodniczo-lesne-1</t>
  </si>
  <si>
    <t>https://www.naturaravenna.it/il-museo/</t>
  </si>
  <si>
    <t>https://www.sema.rs.gov.br/museu-de-ciencias-naturais-mcn</t>
  </si>
  <si>
    <t>https://www.museidigenova.it/it/museo-di-storia-naturale-giacomo-doria-0</t>
  </si>
  <si>
    <t>https://ifv-vogelwarte.de/institut</t>
  </si>
  <si>
    <t>https://museoserrano.blogspot.com/</t>
  </si>
  <si>
    <t>https://ebird.org/hotspot/L2574364</t>
  </si>
  <si>
    <t>https://www.muzeumhk.cz/</t>
  </si>
  <si>
    <t>https://www.musee-semur-en-auxois.com/</t>
  </si>
  <si>
    <t>https://www.saarland.de/mukmav/DE/portale/naturschutz/informationen/artenschutz/zentrum-fuer-biodokumentation</t>
  </si>
  <si>
    <t>https://www.kkkm.ru/</t>
  </si>
  <si>
    <t>網站壞掉</t>
  </si>
  <si>
    <t>https://lasalle.edu.co/es/noticias/museo-de-historia-natural-de-la-salle-un-legado-cientifico-en-colombia</t>
  </si>
  <si>
    <t>http://sifauna.ueuo.com/</t>
  </si>
  <si>
    <t>https://pagina.fciencias.unam.mx/vida-en-ciencias/instalaciones/instalaciones-academicas/museos/museo-zoologia-colecciones</t>
  </si>
  <si>
    <t>https://uwymv.wyomingbiodiversity.org/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</si>
</sst>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1"/>
      <color rgb="FF0563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rgb="FFC5E0B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Font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3" fontId="1" fillId="0" borderId="2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3" borderId="0" xfId="1" applyFont="1" applyFill="1" applyAlignment="1">
      <alignment horizontal="left" vertical="center" wrapText="1"/>
    </xf>
    <xf numFmtId="0" fontId="6" fillId="0" borderId="0" xfId="0" applyFont="1" applyAlignment="1">
      <alignment wrapText="1"/>
    </xf>
    <xf numFmtId="0" fontId="8" fillId="0" borderId="0" xfId="2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3">
    <cellStyle name="Normal 2" xfId="1" xr:uid="{00000000-0005-0000-0000-000001000000}"/>
    <cellStyle name="一般" xfId="0" builtinId="0"/>
    <cellStyle name="超連結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earch/data/Egg/Global%20egg%20collection/Egg_dataset_for_SPNHC_conference_20240410.xlsx" TargetMode="External"/><Relationship Id="rId1" Type="http://schemas.openxmlformats.org/officeDocument/2006/relationships/externalLinkPath" Target="/Users/Yiru%20Cheng/Dropbox/2022%20Academia%20Sinica/Research/data/Egg/Global%20egg%20collection/Egg_dataset_for_SPNHC_conference_2024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ini+iDigBio"/>
      <sheetName val="stats-211Museum"/>
      <sheetName val="stats-209Museum"/>
      <sheetName val="EASE_DB_20240410無ANWC"/>
      <sheetName val="stats"/>
      <sheetName val="ANWC"/>
      <sheetName val="EASE_museum_list"/>
      <sheetName val="209 musuems"/>
      <sheetName val="readme"/>
    </sheetNames>
    <sheetDataSet>
      <sheetData sheetId="0">
        <row r="2">
          <cell r="D2" t="str">
            <v>The Natural History Museum</v>
          </cell>
          <cell r="E2" t="str">
            <v>BMNH/NHM/NHMUK</v>
          </cell>
          <cell r="F2" t="str">
            <v xml:space="preserve"> UK</v>
          </cell>
          <cell r="G2" t="str">
            <v>Tring</v>
          </cell>
          <cell r="H2">
            <v>450000</v>
          </cell>
          <cell r="J2">
            <v>450000</v>
          </cell>
        </row>
        <row r="3">
          <cell r="D3" t="str">
            <v>Western Foundation of Vertebrate Zoology</v>
          </cell>
          <cell r="E3" t="str">
            <v>WFVZ</v>
          </cell>
          <cell r="F3" t="str">
            <v xml:space="preserve"> USA</v>
          </cell>
          <cell r="G3" t="str">
            <v>Camarillo, CA</v>
          </cell>
          <cell r="H3">
            <v>275000</v>
          </cell>
          <cell r="J3">
            <v>275000</v>
          </cell>
        </row>
        <row r="4">
          <cell r="D4" t="str">
            <v>Zoologisches Forschungsinstitut und Museum Alexander Koenig</v>
          </cell>
          <cell r="E4" t="str">
            <v>ZFMK</v>
          </cell>
          <cell r="F4" t="str">
            <v xml:space="preserve"> Germany</v>
          </cell>
          <cell r="G4" t="str">
            <v>Bonn</v>
          </cell>
          <cell r="H4">
            <v>60000</v>
          </cell>
          <cell r="J4">
            <v>60000</v>
          </cell>
        </row>
        <row r="5">
          <cell r="D5" t="str">
            <v>Museum für Naturkunde</v>
          </cell>
          <cell r="E5" t="str">
            <v>ZMB or ISZ</v>
          </cell>
          <cell r="F5" t="str">
            <v xml:space="preserve"> Germany</v>
          </cell>
          <cell r="G5" t="str">
            <v>Berlin</v>
          </cell>
          <cell r="H5">
            <v>50000</v>
          </cell>
          <cell r="J5">
            <v>50000</v>
          </cell>
        </row>
        <row r="6">
          <cell r="D6" t="str">
            <v>National Museums Scotland</v>
          </cell>
          <cell r="E6" t="str">
            <v>NMS</v>
          </cell>
          <cell r="F6" t="str">
            <v xml:space="preserve"> UK</v>
          </cell>
          <cell r="G6" t="str">
            <v>Edinburgh</v>
          </cell>
          <cell r="H6">
            <v>45000</v>
          </cell>
          <cell r="J6">
            <v>45000</v>
          </cell>
        </row>
        <row r="7">
          <cell r="D7" t="str">
            <v>Naturalis, Nationaal Natuurhistorisch Museum(荷蘭萊登自然史博物館)(Naturalis Biodiversity Center)</v>
          </cell>
          <cell r="E7" t="str">
            <v>RMNH</v>
          </cell>
          <cell r="F7" t="str">
            <v xml:space="preserve"> The Netherlands</v>
          </cell>
          <cell r="G7" t="str">
            <v>Leiden</v>
          </cell>
          <cell r="H7">
            <v>39459</v>
          </cell>
          <cell r="J7">
            <v>39459</v>
          </cell>
        </row>
        <row r="8">
          <cell r="D8" t="str">
            <v>Delaware Museum of Natural History</v>
          </cell>
          <cell r="E8" t="str">
            <v>DMNH</v>
          </cell>
          <cell r="F8" t="str">
            <v xml:space="preserve"> USA</v>
          </cell>
          <cell r="G8" t="str">
            <v>Wilmington, DE</v>
          </cell>
          <cell r="H8">
            <v>36773</v>
          </cell>
          <cell r="J8">
            <v>36773</v>
          </cell>
        </row>
        <row r="9">
          <cell r="D9" t="str">
            <v>National Museum of Natural History</v>
          </cell>
          <cell r="E9" t="str">
            <v>NMNH</v>
          </cell>
          <cell r="F9" t="str">
            <v xml:space="preserve"> USA</v>
          </cell>
          <cell r="G9" t="str">
            <v xml:space="preserve">Washington, D.C. </v>
          </cell>
          <cell r="H9">
            <v>31329</v>
          </cell>
          <cell r="J9">
            <v>31329</v>
          </cell>
        </row>
        <row r="10">
          <cell r="D10" t="str">
            <v>Finnish Museum of Natural History</v>
          </cell>
          <cell r="E10" t="str">
            <v>ZMUH</v>
          </cell>
          <cell r="F10" t="str">
            <v xml:space="preserve"> Finland</v>
          </cell>
          <cell r="G10" t="str">
            <v>Helsinki</v>
          </cell>
          <cell r="H10">
            <v>31000</v>
          </cell>
          <cell r="J10">
            <v>31000</v>
          </cell>
        </row>
        <row r="11">
          <cell r="D11" t="str">
            <v>Naturhistoriska Riksmuseet</v>
          </cell>
          <cell r="E11" t="str">
            <v>NRM</v>
          </cell>
          <cell r="F11" t="str">
            <v xml:space="preserve"> Sweden</v>
          </cell>
          <cell r="G11" t="str">
            <v>Stockholm</v>
          </cell>
          <cell r="H11">
            <v>29000</v>
          </cell>
          <cell r="J11">
            <v>29000</v>
          </cell>
        </row>
        <row r="12">
          <cell r="D12" t="str">
            <v>San Bernardino County Museum</v>
          </cell>
          <cell r="F12" t="str">
            <v xml:space="preserve"> USA</v>
          </cell>
          <cell r="G12" t="str">
            <v>Redlands, CA</v>
          </cell>
          <cell r="H12">
            <v>28042</v>
          </cell>
          <cell r="J12">
            <v>28042</v>
          </cell>
        </row>
        <row r="13">
          <cell r="D13" t="str">
            <v>Hungarian egg collections</v>
          </cell>
          <cell r="F13" t="str">
            <v>Hungary</v>
          </cell>
          <cell r="G13" t="str">
            <v>Hungary</v>
          </cell>
          <cell r="H13">
            <v>23945</v>
          </cell>
          <cell r="J13">
            <v>23945</v>
          </cell>
        </row>
        <row r="14">
          <cell r="D14" t="str">
            <v>Zentralmagazin Naturwissenschaftlicher Sammlungen, Martin Luther University Halle-Wittenberg</v>
          </cell>
          <cell r="E14" t="str">
            <v>MLUH</v>
          </cell>
          <cell r="F14" t="str">
            <v xml:space="preserve"> Germany</v>
          </cell>
          <cell r="G14" t="str">
            <v>Halle (Saale)</v>
          </cell>
          <cell r="H14">
            <v>21000</v>
          </cell>
          <cell r="I14" t="str">
            <v xml:space="preserve"> </v>
          </cell>
          <cell r="J14">
            <v>21000</v>
          </cell>
        </row>
        <row r="15">
          <cell r="D15" t="str">
            <v>Field Museum of Natural History</v>
          </cell>
          <cell r="E15" t="str">
            <v>FMNH</v>
          </cell>
          <cell r="F15" t="str">
            <v xml:space="preserve"> USA</v>
          </cell>
          <cell r="G15" t="str">
            <v>Chicago,  IL</v>
          </cell>
          <cell r="H15">
            <v>20947</v>
          </cell>
          <cell r="J15">
            <v>20947</v>
          </cell>
        </row>
        <row r="16">
          <cell r="D16" t="str">
            <v>Australian Museum</v>
          </cell>
          <cell r="E16" t="str">
            <v>AM</v>
          </cell>
          <cell r="F16" t="str">
            <v xml:space="preserve"> Australia</v>
          </cell>
          <cell r="G16" t="str">
            <v>Sydney</v>
          </cell>
          <cell r="H16">
            <v>20000</v>
          </cell>
          <cell r="I16" t="str">
            <v xml:space="preserve"> </v>
          </cell>
          <cell r="J16">
            <v>20000</v>
          </cell>
        </row>
        <row r="17">
          <cell r="D17" t="str">
            <v>Staatliches Naturhistorisches Museum</v>
          </cell>
          <cell r="E17" t="str">
            <v>SNMB</v>
          </cell>
          <cell r="F17" t="str">
            <v xml:space="preserve"> Germany</v>
          </cell>
          <cell r="G17" t="str">
            <v>Braunschweig</v>
          </cell>
          <cell r="H17">
            <v>20000</v>
          </cell>
          <cell r="J17">
            <v>20000</v>
          </cell>
        </row>
        <row r="18">
          <cell r="D18" t="str">
            <v>Zoologicheskii Institut</v>
          </cell>
          <cell r="E18" t="str">
            <v>ZISP</v>
          </cell>
          <cell r="F18" t="str">
            <v xml:space="preserve"> Russia</v>
          </cell>
          <cell r="G18" t="str">
            <v>Saint Petersburg</v>
          </cell>
          <cell r="H18">
            <v>20000</v>
          </cell>
          <cell r="J18">
            <v>20000</v>
          </cell>
        </row>
        <row r="19">
          <cell r="D19" t="str">
            <v>Muséum d’Histoire Naturelle de Genève</v>
          </cell>
          <cell r="E19" t="str">
            <v>MHNG</v>
          </cell>
          <cell r="F19" t="str">
            <v xml:space="preserve"> Switzerland</v>
          </cell>
          <cell r="G19" t="str">
            <v>Geneva</v>
          </cell>
          <cell r="H19">
            <v>18562</v>
          </cell>
          <cell r="I19" t="str">
            <v xml:space="preserve"> </v>
          </cell>
          <cell r="J19">
            <v>18562</v>
          </cell>
        </row>
        <row r="20">
          <cell r="D20" t="str">
            <v>Zoologisk Museum</v>
          </cell>
          <cell r="E20" t="str">
            <v>ZMUC</v>
          </cell>
          <cell r="F20" t="str">
            <v xml:space="preserve"> Denmark</v>
          </cell>
          <cell r="G20" t="str">
            <v>Copenhagen</v>
          </cell>
          <cell r="H20">
            <v>17000</v>
          </cell>
          <cell r="J20">
            <v>17000</v>
          </cell>
        </row>
        <row r="21">
          <cell r="D21" t="str">
            <v>American Museum of Natural History</v>
          </cell>
          <cell r="E21" t="str">
            <v>AMNH</v>
          </cell>
          <cell r="F21" t="str">
            <v xml:space="preserve"> USA</v>
          </cell>
          <cell r="G21" t="str">
            <v>New York,  NY</v>
          </cell>
          <cell r="H21">
            <v>16679</v>
          </cell>
          <cell r="J21">
            <v>16679</v>
          </cell>
        </row>
        <row r="22">
          <cell r="D22" t="str">
            <v>Senckenberg Naturhistorische Sammlungen</v>
          </cell>
          <cell r="E22" t="str">
            <v>SMTD</v>
          </cell>
          <cell r="F22" t="str">
            <v xml:space="preserve"> Germany</v>
          </cell>
          <cell r="G22" t="str">
            <v>Dresden</v>
          </cell>
          <cell r="H22">
            <v>15000</v>
          </cell>
          <cell r="J22">
            <v>15000</v>
          </cell>
        </row>
        <row r="23">
          <cell r="D23" t="str">
            <v>Royal Alberta Museum</v>
          </cell>
          <cell r="E23" t="str">
            <v>RAM</v>
          </cell>
          <cell r="F23" t="str">
            <v xml:space="preserve"> Canada</v>
          </cell>
          <cell r="G23" t="str">
            <v>Edmonton</v>
          </cell>
          <cell r="H23">
            <v>14000</v>
          </cell>
          <cell r="J23">
            <v>14000</v>
          </cell>
        </row>
        <row r="24">
          <cell r="D24" t="str">
            <v>Museum of Vertebrate Zoology</v>
          </cell>
          <cell r="E24" t="str">
            <v>MVZ</v>
          </cell>
          <cell r="F24" t="str">
            <v xml:space="preserve"> USA</v>
          </cell>
          <cell r="G24" t="str">
            <v>Berkeley,  CA</v>
          </cell>
          <cell r="H24">
            <v>13700</v>
          </cell>
          <cell r="J24">
            <v>13700</v>
          </cell>
        </row>
        <row r="25">
          <cell r="D25" t="str">
            <v>Peabody Museum of Natural History, Yale University</v>
          </cell>
          <cell r="E25" t="str">
            <v>YPM</v>
          </cell>
          <cell r="F25" t="str">
            <v xml:space="preserve"> USA</v>
          </cell>
          <cell r="G25" t="str">
            <v>New Haven,  CT</v>
          </cell>
          <cell r="H25">
            <v>13374</v>
          </cell>
          <cell r="J25">
            <v>13374</v>
          </cell>
        </row>
        <row r="26">
          <cell r="D26" t="str">
            <v>Naturhistorisches Museum Wien</v>
          </cell>
          <cell r="E26" t="str">
            <v>NMW</v>
          </cell>
          <cell r="F26" t="str">
            <v xml:space="preserve"> Austria</v>
          </cell>
          <cell r="G26" t="str">
            <v>Vienna</v>
          </cell>
          <cell r="H26">
            <v>13000</v>
          </cell>
          <cell r="J26">
            <v>13000</v>
          </cell>
        </row>
        <row r="27">
          <cell r="D27" t="str">
            <v>Liverpool Museum</v>
          </cell>
          <cell r="E27" t="str">
            <v>LivCM</v>
          </cell>
          <cell r="F27" t="str">
            <v xml:space="preserve"> UK</v>
          </cell>
          <cell r="G27" t="str">
            <v>Liverpool</v>
          </cell>
          <cell r="H27">
            <v>12000</v>
          </cell>
          <cell r="J27">
            <v>12000</v>
          </cell>
        </row>
        <row r="28">
          <cell r="D28" t="str">
            <v>Oxfordshire County Council Museums</v>
          </cell>
          <cell r="E28" t="str">
            <v xml:space="preserve"> </v>
          </cell>
          <cell r="F28" t="str">
            <v xml:space="preserve"> UK</v>
          </cell>
          <cell r="G28" t="str">
            <v>Witney</v>
          </cell>
          <cell r="H28">
            <v>12000</v>
          </cell>
          <cell r="I28">
            <v>300</v>
          </cell>
          <cell r="J28">
            <v>12000</v>
          </cell>
        </row>
        <row r="29">
          <cell r="D29" t="str">
            <v>University of Wisconsin-Green Bay</v>
          </cell>
          <cell r="F29" t="str">
            <v xml:space="preserve"> USA</v>
          </cell>
          <cell r="G29" t="str">
            <v>Green Bay,  WI</v>
          </cell>
          <cell r="H29">
            <v>12000</v>
          </cell>
          <cell r="J29">
            <v>12000</v>
          </cell>
        </row>
        <row r="30">
          <cell r="D30" t="str">
            <v>Niedersächsisches Landesmuseum</v>
          </cell>
          <cell r="E30" t="str">
            <v>NLMH</v>
          </cell>
          <cell r="F30" t="str">
            <v xml:space="preserve"> Germany</v>
          </cell>
          <cell r="G30" t="str">
            <v>Hannover</v>
          </cell>
          <cell r="I30">
            <v>35000</v>
          </cell>
          <cell r="J30">
            <v>11666.666666666666</v>
          </cell>
        </row>
        <row r="31">
          <cell r="D31" t="str">
            <v>Museum of Comparative Zoology, Harvard University</v>
          </cell>
          <cell r="E31" t="str">
            <v>MCZ</v>
          </cell>
          <cell r="F31" t="str">
            <v xml:space="preserve"> USA</v>
          </cell>
          <cell r="G31" t="str">
            <v>Cambridge,  MA</v>
          </cell>
          <cell r="H31">
            <v>11600</v>
          </cell>
          <cell r="J31">
            <v>11600</v>
          </cell>
        </row>
        <row r="32">
          <cell r="D32" t="str">
            <v>The Manchester Museum</v>
          </cell>
          <cell r="E32" t="str">
            <v>MANCH</v>
          </cell>
          <cell r="F32" t="str">
            <v xml:space="preserve"> UK</v>
          </cell>
          <cell r="G32" t="str">
            <v>Manchester</v>
          </cell>
          <cell r="H32">
            <v>11527</v>
          </cell>
          <cell r="J32">
            <v>11527</v>
          </cell>
        </row>
        <row r="33">
          <cell r="D33" t="str">
            <v>Royal Ontario Museum</v>
          </cell>
          <cell r="E33" t="str">
            <v>ROM</v>
          </cell>
          <cell r="F33" t="str">
            <v xml:space="preserve"> Canada</v>
          </cell>
          <cell r="G33" t="str">
            <v>Toronto</v>
          </cell>
          <cell r="H33">
            <v>11304</v>
          </cell>
          <cell r="J33">
            <v>11304</v>
          </cell>
        </row>
        <row r="34">
          <cell r="D34" t="str">
            <v>Florida Museum of Natural History</v>
          </cell>
          <cell r="E34" t="str">
            <v>FMNH/UF</v>
          </cell>
          <cell r="F34" t="str">
            <v xml:space="preserve"> USA</v>
          </cell>
          <cell r="G34" t="str">
            <v>Gainesville,  FL</v>
          </cell>
          <cell r="H34">
            <v>10400</v>
          </cell>
          <cell r="J34">
            <v>10400</v>
          </cell>
        </row>
        <row r="35">
          <cell r="D35" t="str">
            <v>Staatliches Museum für Naturkunde</v>
          </cell>
          <cell r="E35" t="str">
            <v>SMNS</v>
          </cell>
          <cell r="F35" t="str">
            <v xml:space="preserve"> Germany</v>
          </cell>
          <cell r="G35" t="str">
            <v>Stuttgart</v>
          </cell>
          <cell r="H35">
            <v>10000</v>
          </cell>
          <cell r="I35">
            <v>50000</v>
          </cell>
          <cell r="J35">
            <v>10000</v>
          </cell>
        </row>
        <row r="36">
          <cell r="D36" t="str">
            <v>LWL-Museum für Naturkunde</v>
          </cell>
          <cell r="E36" t="str">
            <v>LWLMN</v>
          </cell>
          <cell r="F36" t="str">
            <v xml:space="preserve"> Germany</v>
          </cell>
          <cell r="G36" t="str">
            <v>Münster</v>
          </cell>
          <cell r="H36">
            <v>10000</v>
          </cell>
          <cell r="J36">
            <v>10000</v>
          </cell>
        </row>
        <row r="37">
          <cell r="D37" t="str">
            <v>Zoological Museum</v>
          </cell>
          <cell r="E37" t="str">
            <v>ZMMU</v>
          </cell>
          <cell r="F37" t="str">
            <v xml:space="preserve"> Russia</v>
          </cell>
          <cell r="G37" t="str">
            <v>Moscow</v>
          </cell>
          <cell r="H37">
            <v>10000</v>
          </cell>
          <cell r="J37">
            <v>10000</v>
          </cell>
        </row>
        <row r="38">
          <cell r="D38" t="str">
            <v>Naturhistoriska Museet</v>
          </cell>
          <cell r="E38" t="str">
            <v>GNM</v>
          </cell>
          <cell r="F38" t="str">
            <v xml:space="preserve"> Sweden</v>
          </cell>
          <cell r="G38" t="str">
            <v>Gothenburg</v>
          </cell>
          <cell r="H38">
            <v>10000</v>
          </cell>
          <cell r="J38">
            <v>10000</v>
          </cell>
        </row>
        <row r="39">
          <cell r="D39" t="str">
            <v>Glasgow Art Gallery and Museum (Univ. of Glasgow)</v>
          </cell>
          <cell r="E39" t="str">
            <v>GLAMG</v>
          </cell>
          <cell r="F39" t="str">
            <v xml:space="preserve"> UK</v>
          </cell>
          <cell r="G39" t="str">
            <v>Glasgow</v>
          </cell>
          <cell r="H39">
            <v>10000</v>
          </cell>
          <cell r="I39" t="str">
            <v xml:space="preserve"> </v>
          </cell>
          <cell r="J39">
            <v>10000</v>
          </cell>
        </row>
        <row r="40">
          <cell r="D40" t="str">
            <v>Great North Museum: Hancock</v>
          </cell>
          <cell r="E40" t="str">
            <v>NEWHM</v>
          </cell>
          <cell r="F40" t="str">
            <v xml:space="preserve"> UK</v>
          </cell>
          <cell r="G40" t="str">
            <v>Newcastle</v>
          </cell>
          <cell r="H40">
            <v>10000</v>
          </cell>
          <cell r="J40">
            <v>10000</v>
          </cell>
        </row>
        <row r="41">
          <cell r="D41" t="str">
            <v>Booth Museum of Natural History</v>
          </cell>
          <cell r="E41" t="str">
            <v>BMB</v>
          </cell>
          <cell r="F41" t="str">
            <v xml:space="preserve"> UK</v>
          </cell>
          <cell r="G41" t="str">
            <v>Brighton</v>
          </cell>
          <cell r="H41">
            <v>10000</v>
          </cell>
          <cell r="J41">
            <v>10000</v>
          </cell>
        </row>
        <row r="42">
          <cell r="D42" t="str">
            <v>Santa Barbara Museum of Natural History****</v>
          </cell>
          <cell r="E42" t="str">
            <v>SBMNH</v>
          </cell>
          <cell r="F42" t="str">
            <v xml:space="preserve"> USA</v>
          </cell>
          <cell r="G42" t="str">
            <v>Santa Barbara,  CA</v>
          </cell>
          <cell r="H42">
            <v>9998</v>
          </cell>
          <cell r="J42">
            <v>9998</v>
          </cell>
        </row>
        <row r="43">
          <cell r="D43" t="str">
            <v>Carnegie Museum of Natural History</v>
          </cell>
          <cell r="E43" t="str">
            <v>CM</v>
          </cell>
          <cell r="F43" t="str">
            <v xml:space="preserve"> USA</v>
          </cell>
          <cell r="G43" t="str">
            <v>Pittsburgh,  PA</v>
          </cell>
          <cell r="H43">
            <v>9930</v>
          </cell>
          <cell r="J43">
            <v>9930</v>
          </cell>
        </row>
        <row r="44">
          <cell r="D44" t="str">
            <v>Ditsong National Museum of Natural History</v>
          </cell>
          <cell r="F44" t="str">
            <v xml:space="preserve"> South Africa</v>
          </cell>
          <cell r="G44" t="str">
            <v>Pretoria</v>
          </cell>
          <cell r="H44">
            <v>9221</v>
          </cell>
          <cell r="J44">
            <v>9221</v>
          </cell>
        </row>
        <row r="45">
          <cell r="D45" t="str">
            <v>Naturhistorisches Museum Bern</v>
          </cell>
          <cell r="E45" t="str">
            <v>NMBE</v>
          </cell>
          <cell r="F45" t="str">
            <v xml:space="preserve"> Switzerland</v>
          </cell>
          <cell r="G45" t="str">
            <v>Bern</v>
          </cell>
          <cell r="H45">
            <v>8955</v>
          </cell>
          <cell r="J45">
            <v>8955</v>
          </cell>
        </row>
        <row r="46">
          <cell r="D46" t="str">
            <v>Muséum d’Histoire Naturelle de Nantes</v>
          </cell>
          <cell r="E46" t="str">
            <v>MHNNT</v>
          </cell>
          <cell r="F46" t="str">
            <v xml:space="preserve"> France</v>
          </cell>
          <cell r="G46" t="str">
            <v>Nantes</v>
          </cell>
          <cell r="H46">
            <v>8757</v>
          </cell>
          <cell r="J46">
            <v>8757</v>
          </cell>
        </row>
        <row r="47">
          <cell r="D47" t="str">
            <v>Zoologisk Museum</v>
          </cell>
          <cell r="E47" t="str">
            <v>ZMUL</v>
          </cell>
          <cell r="F47" t="str">
            <v xml:space="preserve"> Sweden</v>
          </cell>
          <cell r="G47" t="str">
            <v>Lund</v>
          </cell>
          <cell r="H47">
            <v>8393</v>
          </cell>
          <cell r="J47">
            <v>8393</v>
          </cell>
        </row>
        <row r="48">
          <cell r="D48" t="str">
            <v>Zoological Museum</v>
          </cell>
          <cell r="E48" t="str">
            <v>ZM SPBU</v>
          </cell>
          <cell r="F48" t="str">
            <v xml:space="preserve"> Russia</v>
          </cell>
          <cell r="G48" t="str">
            <v>Saint Petersburg</v>
          </cell>
          <cell r="H48">
            <v>8000</v>
          </cell>
          <cell r="J48">
            <v>8000</v>
          </cell>
        </row>
        <row r="49">
          <cell r="D49" t="str">
            <v>National Museum and Galeries of Wales</v>
          </cell>
          <cell r="E49" t="str">
            <v>NMWC</v>
          </cell>
          <cell r="F49" t="str">
            <v xml:space="preserve"> UK</v>
          </cell>
          <cell r="G49" t="str">
            <v>Cardiff</v>
          </cell>
          <cell r="H49">
            <v>8000</v>
          </cell>
          <cell r="J49">
            <v>8000</v>
          </cell>
        </row>
        <row r="50">
          <cell r="D50" t="str">
            <v>University Museum of Zoology</v>
          </cell>
          <cell r="E50" t="str">
            <v>CUMZ</v>
          </cell>
          <cell r="F50" t="str">
            <v xml:space="preserve"> UK</v>
          </cell>
          <cell r="G50" t="str">
            <v>Cambridge</v>
          </cell>
          <cell r="H50">
            <v>8000</v>
          </cell>
          <cell r="J50">
            <v>8000</v>
          </cell>
        </row>
        <row r="51">
          <cell r="D51" t="str">
            <v>Natural History Museum of Zimbabwe</v>
          </cell>
          <cell r="F51" t="str">
            <v>Zimbabwe</v>
          </cell>
          <cell r="G51" t="str">
            <v>Bulawayo</v>
          </cell>
          <cell r="H51">
            <v>8000</v>
          </cell>
          <cell r="J51">
            <v>8000</v>
          </cell>
        </row>
        <row r="52">
          <cell r="D52" t="str">
            <v>California Academy of Sciences</v>
          </cell>
          <cell r="E52" t="str">
            <v>CAS</v>
          </cell>
          <cell r="F52" t="str">
            <v xml:space="preserve"> USA</v>
          </cell>
          <cell r="G52" t="str">
            <v>San Francisco,  CA</v>
          </cell>
          <cell r="H52">
            <v>7556</v>
          </cell>
          <cell r="J52">
            <v>7556</v>
          </cell>
        </row>
        <row r="53">
          <cell r="D53" t="str">
            <v>Museum Heineanum</v>
          </cell>
          <cell r="E53" t="str">
            <v>MHH</v>
          </cell>
          <cell r="F53" t="str">
            <v xml:space="preserve"> Germany</v>
          </cell>
          <cell r="G53" t="str">
            <v>Halberstadt</v>
          </cell>
          <cell r="H53">
            <v>7400</v>
          </cell>
          <cell r="J53">
            <v>7400</v>
          </cell>
        </row>
        <row r="54">
          <cell r="D54" t="str">
            <v>Zoologische Sammlung, Technische Universität</v>
          </cell>
          <cell r="F54" t="str">
            <v xml:space="preserve"> Germany</v>
          </cell>
          <cell r="G54" t="str">
            <v>Darmstadt</v>
          </cell>
          <cell r="H54">
            <v>7000</v>
          </cell>
          <cell r="J54">
            <v>7000</v>
          </cell>
        </row>
        <row r="55">
          <cell r="D55" t="str">
            <v>South Australian Museum</v>
          </cell>
          <cell r="E55" t="str">
            <v>SAMA</v>
          </cell>
          <cell r="F55" t="str">
            <v xml:space="preserve"> Australia</v>
          </cell>
          <cell r="G55" t="str">
            <v>Adelaide</v>
          </cell>
          <cell r="I55">
            <v>20000</v>
          </cell>
          <cell r="J55">
            <v>6666.666666666667</v>
          </cell>
        </row>
        <row r="56">
          <cell r="D56" t="str">
            <v>Museum Victoria</v>
          </cell>
          <cell r="E56" t="str">
            <v>NMV</v>
          </cell>
          <cell r="F56" t="str">
            <v xml:space="preserve"> Australia</v>
          </cell>
          <cell r="G56" t="str">
            <v>Melbourne</v>
          </cell>
          <cell r="I56">
            <v>20000</v>
          </cell>
          <cell r="J56">
            <v>6666.666666666667</v>
          </cell>
        </row>
        <row r="57">
          <cell r="D57" t="str">
            <v>Zoologisk Museum</v>
          </cell>
          <cell r="E57" t="str">
            <v>ZMUO</v>
          </cell>
          <cell r="F57" t="str">
            <v xml:space="preserve"> Norway</v>
          </cell>
          <cell r="G57" t="str">
            <v>Oslo</v>
          </cell>
          <cell r="H57">
            <v>6500</v>
          </cell>
          <cell r="J57">
            <v>6500</v>
          </cell>
        </row>
        <row r="58">
          <cell r="D58" t="str">
            <v>University of Massachusetts</v>
          </cell>
          <cell r="F58" t="str">
            <v xml:space="preserve"> USA</v>
          </cell>
          <cell r="G58" t="str">
            <v>Amherst,  MA</v>
          </cell>
          <cell r="H58">
            <v>6101</v>
          </cell>
          <cell r="J58">
            <v>6101</v>
          </cell>
        </row>
        <row r="59">
          <cell r="D59" t="str">
            <v>Deutsches Meeresmuseum</v>
          </cell>
          <cell r="E59" t="str">
            <v>DMM</v>
          </cell>
          <cell r="F59" t="str">
            <v xml:space="preserve"> Germany</v>
          </cell>
          <cell r="G59" t="str">
            <v>Stralsund</v>
          </cell>
          <cell r="H59">
            <v>6000</v>
          </cell>
          <cell r="J59">
            <v>6000</v>
          </cell>
        </row>
        <row r="60">
          <cell r="D60" t="str">
            <v>New York State Museum</v>
          </cell>
          <cell r="E60" t="str">
            <v>NYSM</v>
          </cell>
          <cell r="F60" t="str">
            <v xml:space="preserve"> USA</v>
          </cell>
          <cell r="G60" t="str">
            <v>Albany,  NY</v>
          </cell>
          <cell r="H60">
            <v>6000</v>
          </cell>
          <cell r="J60">
            <v>6000</v>
          </cell>
        </row>
        <row r="61">
          <cell r="D61" t="str">
            <v>Bolton Museums</v>
          </cell>
          <cell r="E61" t="str">
            <v>BOLMG</v>
          </cell>
          <cell r="F61" t="str">
            <v xml:space="preserve"> UK</v>
          </cell>
          <cell r="G61" t="str">
            <v>Bolton</v>
          </cell>
          <cell r="H61">
            <v>5500</v>
          </cell>
          <cell r="J61">
            <v>5500</v>
          </cell>
        </row>
        <row r="62">
          <cell r="D62" t="str">
            <v>Clemson University</v>
          </cell>
          <cell r="F62" t="str">
            <v xml:space="preserve"> USA</v>
          </cell>
          <cell r="G62" t="str">
            <v>Clemson,  SC</v>
          </cell>
          <cell r="H62">
            <v>5366</v>
          </cell>
          <cell r="J62">
            <v>5366</v>
          </cell>
        </row>
        <row r="63">
          <cell r="D63" t="str">
            <v>Naturkundemuseum Leipzig</v>
          </cell>
          <cell r="E63" t="str">
            <v>NKML</v>
          </cell>
          <cell r="F63" t="str">
            <v xml:space="preserve"> Germany</v>
          </cell>
          <cell r="G63" t="str">
            <v>Leipzig</v>
          </cell>
          <cell r="H63">
            <v>5073</v>
          </cell>
          <cell r="J63">
            <v>5073</v>
          </cell>
        </row>
        <row r="64">
          <cell r="D64" t="str">
            <v>Forschungsinstitut und Naturmuseum Senckenberg</v>
          </cell>
          <cell r="E64" t="str">
            <v>SMF</v>
          </cell>
          <cell r="F64" t="str">
            <v xml:space="preserve"> Germany</v>
          </cell>
          <cell r="G64" t="str">
            <v>Frankfurt am Main</v>
          </cell>
          <cell r="H64">
            <v>5050</v>
          </cell>
          <cell r="J64">
            <v>5050</v>
          </cell>
        </row>
        <row r="65">
          <cell r="D65" t="str">
            <v>Národní Muzeum</v>
          </cell>
          <cell r="E65" t="str">
            <v>NMP</v>
          </cell>
          <cell r="F65" t="str">
            <v xml:space="preserve"> Czech Republic</v>
          </cell>
          <cell r="G65" t="str">
            <v>Prague</v>
          </cell>
          <cell r="H65">
            <v>5000</v>
          </cell>
          <cell r="J65">
            <v>5000</v>
          </cell>
        </row>
        <row r="66">
          <cell r="D66" t="str">
            <v>Muséum National d’Histoire Naturelle</v>
          </cell>
          <cell r="E66" t="str">
            <v>MNHN</v>
          </cell>
          <cell r="F66" t="str">
            <v xml:space="preserve"> France</v>
          </cell>
          <cell r="G66" t="str">
            <v>Paris</v>
          </cell>
          <cell r="H66">
            <v>5000</v>
          </cell>
          <cell r="J66">
            <v>5000</v>
          </cell>
        </row>
        <row r="67">
          <cell r="D67" t="str">
            <v>Zoölogisch Museum</v>
          </cell>
          <cell r="E67" t="str">
            <v>ZMA</v>
          </cell>
          <cell r="F67" t="str">
            <v xml:space="preserve"> The Netherlands</v>
          </cell>
          <cell r="G67" t="str">
            <v>Amsterdam</v>
          </cell>
          <cell r="H67">
            <v>5000</v>
          </cell>
          <cell r="I67" t="str">
            <v xml:space="preserve"> </v>
          </cell>
          <cell r="J67">
            <v>5000</v>
          </cell>
        </row>
        <row r="68">
          <cell r="D68" t="str">
            <v>Reading Public Museum and Art Gallery</v>
          </cell>
          <cell r="F68" t="str">
            <v xml:space="preserve"> USA</v>
          </cell>
          <cell r="G68" t="str">
            <v>Reading,  PA</v>
          </cell>
          <cell r="H68">
            <v>5000</v>
          </cell>
          <cell r="J68">
            <v>5000</v>
          </cell>
        </row>
        <row r="69">
          <cell r="D69" t="str">
            <v>Centrum für Naturkunde der Universität Hamburg</v>
          </cell>
          <cell r="E69" t="str">
            <v>CeNak</v>
          </cell>
          <cell r="F69" t="str">
            <v xml:space="preserve"> Germany</v>
          </cell>
          <cell r="G69" t="str">
            <v>Hamburg</v>
          </cell>
          <cell r="I69">
            <v>14212</v>
          </cell>
          <cell r="J69">
            <v>4737.333333333333</v>
          </cell>
        </row>
        <row r="70">
          <cell r="D70" t="str">
            <v>Naturkundemuseum Potsdam</v>
          </cell>
          <cell r="F70" t="str">
            <v xml:space="preserve"> Germany</v>
          </cell>
          <cell r="G70" t="str">
            <v>Potsdam</v>
          </cell>
          <cell r="I70">
            <v>14000</v>
          </cell>
          <cell r="J70">
            <v>4666.666666666667</v>
          </cell>
        </row>
        <row r="71">
          <cell r="D71" t="str">
            <v>Burke Memorial Washington State Museum</v>
          </cell>
          <cell r="F71" t="str">
            <v xml:space="preserve"> USA</v>
          </cell>
          <cell r="G71" t="str">
            <v>Seattle,  WA</v>
          </cell>
          <cell r="H71">
            <v>4634</v>
          </cell>
          <cell r="J71">
            <v>4634</v>
          </cell>
        </row>
        <row r="72">
          <cell r="D72" t="str">
            <v>Instituto de Investigaciones de Recursos Biológicos "Alexander von Humboldt"</v>
          </cell>
          <cell r="E72" t="str">
            <v>IAvH-CJM</v>
          </cell>
          <cell r="F72" t="str">
            <v xml:space="preserve"> Colombia</v>
          </cell>
          <cell r="G72" t="str">
            <v>Vila de Leyva</v>
          </cell>
          <cell r="H72">
            <v>4600</v>
          </cell>
          <cell r="I72" t="str">
            <v xml:space="preserve"> </v>
          </cell>
          <cell r="J72">
            <v>4600</v>
          </cell>
        </row>
        <row r="73">
          <cell r="D73" t="str">
            <v>Puget Sound Museum of Natural History (now: Slater Museum of Natural History)</v>
          </cell>
          <cell r="F73" t="str">
            <v xml:space="preserve"> USA</v>
          </cell>
          <cell r="G73" t="str">
            <v>Tacoma,  WA</v>
          </cell>
          <cell r="H73">
            <v>4600</v>
          </cell>
          <cell r="J73">
            <v>4600</v>
          </cell>
        </row>
        <row r="74">
          <cell r="D74" t="str">
            <v>Naturhistorisches Museum Rudolstadt</v>
          </cell>
          <cell r="E74" t="str">
            <v>NMR</v>
          </cell>
          <cell r="F74" t="str">
            <v xml:space="preserve"> Germany</v>
          </cell>
          <cell r="G74" t="str">
            <v>Rudolstadt</v>
          </cell>
          <cell r="H74">
            <v>4500</v>
          </cell>
          <cell r="J74">
            <v>4500</v>
          </cell>
        </row>
        <row r="75">
          <cell r="D75" t="str">
            <v>Illinois State Museum</v>
          </cell>
          <cell r="E75" t="str">
            <v>ISM</v>
          </cell>
          <cell r="F75" t="str">
            <v xml:space="preserve"> USA</v>
          </cell>
          <cell r="G75" t="str">
            <v>Springfield,  IL</v>
          </cell>
          <cell r="H75">
            <v>4500</v>
          </cell>
          <cell r="J75">
            <v>4500</v>
          </cell>
        </row>
        <row r="76">
          <cell r="D76" t="str">
            <v>Ohio State University</v>
          </cell>
          <cell r="E76" t="str">
            <v>OSUM</v>
          </cell>
          <cell r="F76" t="str">
            <v xml:space="preserve"> USA</v>
          </cell>
          <cell r="G76" t="str">
            <v>Columbus,  OH</v>
          </cell>
          <cell r="H76">
            <v>4475</v>
          </cell>
          <cell r="J76">
            <v>4475</v>
          </cell>
        </row>
        <row r="77">
          <cell r="D77" t="str">
            <v>Denver Museum of Natural History****</v>
          </cell>
          <cell r="F77" t="str">
            <v xml:space="preserve"> USA</v>
          </cell>
          <cell r="G77" t="str">
            <v>Denver,  CO</v>
          </cell>
          <cell r="H77">
            <v>4467</v>
          </cell>
          <cell r="J77">
            <v>4467</v>
          </cell>
        </row>
        <row r="78">
          <cell r="D78" t="str">
            <v>Australian National Wildlife Collection</v>
          </cell>
          <cell r="E78" t="str">
            <v>ANWC</v>
          </cell>
          <cell r="F78" t="str">
            <v xml:space="preserve"> Australia</v>
          </cell>
          <cell r="G78" t="str">
            <v>Canberra</v>
          </cell>
          <cell r="I78">
            <v>13190</v>
          </cell>
          <cell r="J78">
            <v>4396.666666666667</v>
          </cell>
        </row>
        <row r="79">
          <cell r="D79" t="str">
            <v xml:space="preserve">University of Michigan Museum of Zoology </v>
          </cell>
          <cell r="E79" t="str">
            <v>UMMZ</v>
          </cell>
          <cell r="F79" t="str">
            <v xml:space="preserve"> USA</v>
          </cell>
          <cell r="G79" t="str">
            <v>Ann Arbor,  MI</v>
          </cell>
          <cell r="H79">
            <v>4250</v>
          </cell>
          <cell r="J79">
            <v>4250</v>
          </cell>
        </row>
        <row r="80">
          <cell r="D80" t="str">
            <v>Müritzeum</v>
          </cell>
          <cell r="F80" t="str">
            <v xml:space="preserve"> Germany</v>
          </cell>
          <cell r="G80" t="str">
            <v>Waren</v>
          </cell>
          <cell r="H80">
            <v>4115</v>
          </cell>
          <cell r="J80">
            <v>4115</v>
          </cell>
        </row>
        <row r="81">
          <cell r="D81" t="str">
            <v>National Museum of Canada</v>
          </cell>
          <cell r="F81" t="str">
            <v xml:space="preserve"> Canada</v>
          </cell>
          <cell r="G81" t="str">
            <v>Ottawa</v>
          </cell>
          <cell r="H81">
            <v>4025</v>
          </cell>
          <cell r="J81">
            <v>4025</v>
          </cell>
        </row>
        <row r="82">
          <cell r="D82" t="str">
            <v>Snyder, Barton, M. (private collection)</v>
          </cell>
          <cell r="F82" t="str">
            <v xml:space="preserve"> USA</v>
          </cell>
          <cell r="G82" t="str">
            <v>Allentown,  PA</v>
          </cell>
          <cell r="H82">
            <v>3890</v>
          </cell>
          <cell r="J82">
            <v>3890</v>
          </cell>
        </row>
        <row r="83">
          <cell r="D83" t="str">
            <v>Charleston Museum</v>
          </cell>
          <cell r="F83" t="str">
            <v xml:space="preserve"> USA</v>
          </cell>
          <cell r="G83" t="str">
            <v>Charleston,  SC</v>
          </cell>
          <cell r="H83">
            <v>3882</v>
          </cell>
          <cell r="J83">
            <v>3882</v>
          </cell>
        </row>
        <row r="84">
          <cell r="D84" t="str">
            <v>Stovall Museum of Science and History (now: Sam Noble Oklahoma Museum of Natural History)</v>
          </cell>
          <cell r="F84" t="str">
            <v xml:space="preserve"> USA</v>
          </cell>
          <cell r="G84" t="str">
            <v>Norman,  OK</v>
          </cell>
          <cell r="H84">
            <v>3800</v>
          </cell>
          <cell r="J84">
            <v>3800</v>
          </cell>
        </row>
        <row r="85">
          <cell r="D85" t="str">
            <v>Biologie Zentrum des Oberösterreichisches Landesmuseums</v>
          </cell>
          <cell r="E85" t="str">
            <v xml:space="preserve"> </v>
          </cell>
          <cell r="F85" t="str">
            <v xml:space="preserve"> Austria</v>
          </cell>
          <cell r="G85" t="str">
            <v>Linz</v>
          </cell>
          <cell r="H85">
            <v>3500</v>
          </cell>
          <cell r="J85">
            <v>3500</v>
          </cell>
        </row>
        <row r="86">
          <cell r="D86" t="str">
            <v>Tullie House Museum and Art Gallery</v>
          </cell>
          <cell r="F86" t="str">
            <v xml:space="preserve"> UK</v>
          </cell>
          <cell r="G86" t="str">
            <v>Carlisle</v>
          </cell>
          <cell r="H86">
            <v>3500</v>
          </cell>
          <cell r="J86">
            <v>3500</v>
          </cell>
        </row>
        <row r="87">
          <cell r="D87" t="str">
            <v>Welder Wildlife Foundation</v>
          </cell>
          <cell r="F87" t="str">
            <v xml:space="preserve"> USA</v>
          </cell>
          <cell r="G87" t="str">
            <v>Sinton,  TX</v>
          </cell>
          <cell r="H87">
            <v>3310</v>
          </cell>
          <cell r="J87">
            <v>3310</v>
          </cell>
        </row>
        <row r="88">
          <cell r="D88" t="str">
            <v>Übersee-Museum</v>
          </cell>
          <cell r="E88" t="str">
            <v>ÜMB</v>
          </cell>
          <cell r="F88" t="str">
            <v xml:space="preserve"> Germany</v>
          </cell>
          <cell r="G88" t="str">
            <v>Bremen</v>
          </cell>
          <cell r="H88">
            <v>3200</v>
          </cell>
          <cell r="J88">
            <v>3200</v>
          </cell>
        </row>
        <row r="89">
          <cell r="D89" t="str">
            <v>Herbert Art Gallery and Museum</v>
          </cell>
          <cell r="E89" t="str">
            <v>HAGM</v>
          </cell>
          <cell r="F89" t="str">
            <v xml:space="preserve"> UK</v>
          </cell>
          <cell r="G89" t="str">
            <v>Coventry</v>
          </cell>
          <cell r="I89">
            <v>9500</v>
          </cell>
          <cell r="J89">
            <v>3166.6666666666665</v>
          </cell>
        </row>
        <row r="90">
          <cell r="D90" t="str">
            <v>Muzeum J. A. Komenského</v>
          </cell>
          <cell r="E90" t="str">
            <v>MOSPrerov</v>
          </cell>
          <cell r="F90" t="str">
            <v xml:space="preserve"> Czech Republic</v>
          </cell>
          <cell r="G90" t="str">
            <v>Prerov</v>
          </cell>
          <cell r="H90">
            <v>3090</v>
          </cell>
          <cell r="I90">
            <v>12900</v>
          </cell>
          <cell r="J90">
            <v>3090</v>
          </cell>
        </row>
        <row r="91">
          <cell r="D91" t="str">
            <v>Zooloogia Muuseum</v>
          </cell>
          <cell r="E91" t="str">
            <v>Tartu</v>
          </cell>
          <cell r="F91" t="str">
            <v xml:space="preserve"> Estonia</v>
          </cell>
          <cell r="G91" t="str">
            <v>Tartu</v>
          </cell>
          <cell r="H91">
            <v>3000</v>
          </cell>
          <cell r="J91">
            <v>3000</v>
          </cell>
        </row>
        <row r="92">
          <cell r="D92" t="str">
            <v>Naturkunde-Museum Coburg</v>
          </cell>
          <cell r="E92" t="str">
            <v>NMC</v>
          </cell>
          <cell r="F92" t="str">
            <v xml:space="preserve"> Germany</v>
          </cell>
          <cell r="G92" t="str">
            <v>Coburg</v>
          </cell>
          <cell r="H92">
            <v>3000</v>
          </cell>
          <cell r="J92">
            <v>3000</v>
          </cell>
        </row>
        <row r="93">
          <cell r="D93" t="str">
            <v>Leeds Museum Discovery Centre</v>
          </cell>
          <cell r="E93" t="str">
            <v>LEEDM</v>
          </cell>
          <cell r="F93" t="str">
            <v xml:space="preserve"> UK</v>
          </cell>
          <cell r="G93" t="str">
            <v>Leeds</v>
          </cell>
          <cell r="H93">
            <v>3000</v>
          </cell>
          <cell r="J93">
            <v>3000</v>
          </cell>
        </row>
        <row r="94">
          <cell r="D94" t="str">
            <v>Zaklad Zoologii Systematycznej i Doswiadczalnej (Institute of Systematics and Evolution of Animals)</v>
          </cell>
          <cell r="E94" t="str">
            <v>ISEA</v>
          </cell>
          <cell r="F94" t="str">
            <v xml:space="preserve"> Poland</v>
          </cell>
          <cell r="G94" t="str">
            <v>Krakow</v>
          </cell>
          <cell r="H94">
            <v>2900</v>
          </cell>
          <cell r="J94">
            <v>2900</v>
          </cell>
        </row>
        <row r="95">
          <cell r="D95" t="str">
            <v>Tulsa Zoological Park</v>
          </cell>
          <cell r="F95" t="str">
            <v xml:space="preserve"> USA</v>
          </cell>
          <cell r="G95" t="str">
            <v>Tulsa,  OK</v>
          </cell>
          <cell r="H95">
            <v>2696</v>
          </cell>
          <cell r="J95">
            <v>2696</v>
          </cell>
        </row>
        <row r="96">
          <cell r="D96" t="str">
            <v>Aquazoo Löbbecke Museum</v>
          </cell>
          <cell r="F96" t="str">
            <v xml:space="preserve"> Germany</v>
          </cell>
          <cell r="G96" t="str">
            <v>Düsseldorf</v>
          </cell>
          <cell r="I96">
            <v>8000</v>
          </cell>
          <cell r="J96">
            <v>2666.6666666666665</v>
          </cell>
        </row>
        <row r="97">
          <cell r="D97" t="str">
            <v>Universitetsmuseet i Bergen</v>
          </cell>
          <cell r="E97" t="str">
            <v>ZMUB</v>
          </cell>
          <cell r="F97" t="str">
            <v xml:space="preserve"> Norway</v>
          </cell>
          <cell r="G97" t="str">
            <v>Bergen</v>
          </cell>
          <cell r="H97">
            <v>2659</v>
          </cell>
          <cell r="J97">
            <v>2659</v>
          </cell>
        </row>
        <row r="98">
          <cell r="D98" t="str">
            <v>Niedersächsisches Landesmuseum Natur und Mensch</v>
          </cell>
          <cell r="F98" t="str">
            <v xml:space="preserve"> Germany</v>
          </cell>
          <cell r="G98" t="str">
            <v>Oldenburg</v>
          </cell>
          <cell r="I98">
            <v>7900</v>
          </cell>
          <cell r="J98">
            <v>2633.3333333333335</v>
          </cell>
        </row>
        <row r="99">
          <cell r="D99" t="str">
            <v>Icelandic Institute of Natural History</v>
          </cell>
          <cell r="E99" t="str">
            <v>IMNH /NHMR</v>
          </cell>
          <cell r="F99" t="str">
            <v xml:space="preserve"> Iceland</v>
          </cell>
          <cell r="G99" t="str">
            <v>Reykjavik</v>
          </cell>
          <cell r="H99">
            <v>2600</v>
          </cell>
          <cell r="J99">
            <v>2600</v>
          </cell>
        </row>
        <row r="100">
          <cell r="D100" t="str">
            <v>Zoologisk Museum</v>
          </cell>
          <cell r="E100" t="str">
            <v>ZMBN</v>
          </cell>
          <cell r="F100" t="str">
            <v xml:space="preserve"> Norway</v>
          </cell>
          <cell r="G100" t="str">
            <v>Bergen</v>
          </cell>
          <cell r="H100">
            <v>2554</v>
          </cell>
          <cell r="J100">
            <v>2554</v>
          </cell>
        </row>
        <row r="101">
          <cell r="D101" t="str">
            <v>Museo Civico di Storia Naturale</v>
          </cell>
          <cell r="E101" t="str">
            <v>MSNM</v>
          </cell>
          <cell r="F101" t="str">
            <v xml:space="preserve"> Italy</v>
          </cell>
          <cell r="G101" t="str">
            <v>Milan</v>
          </cell>
          <cell r="H101">
            <v>2500</v>
          </cell>
          <cell r="J101">
            <v>2500</v>
          </cell>
        </row>
        <row r="102">
          <cell r="D102" t="str">
            <v>Brigham Young University</v>
          </cell>
          <cell r="E102" t="str">
            <v>BYU</v>
          </cell>
          <cell r="F102" t="str">
            <v xml:space="preserve"> USA</v>
          </cell>
          <cell r="G102" t="str">
            <v>Provo,  UT</v>
          </cell>
          <cell r="H102">
            <v>2493</v>
          </cell>
          <cell r="J102">
            <v>2493</v>
          </cell>
        </row>
        <row r="103">
          <cell r="D103" t="str">
            <v>Bristol Museums and Art Gallery Service</v>
          </cell>
          <cell r="E103" t="str">
            <v>BCMAG</v>
          </cell>
          <cell r="F103" t="str">
            <v xml:space="preserve"> UK</v>
          </cell>
          <cell r="G103" t="str">
            <v>Bristol</v>
          </cell>
          <cell r="H103">
            <v>2400</v>
          </cell>
          <cell r="J103">
            <v>2400</v>
          </cell>
        </row>
        <row r="104">
          <cell r="D104" t="str">
            <v>Neotropical Ornithological Foundation</v>
          </cell>
          <cell r="F104" t="str">
            <v xml:space="preserve"> USA</v>
          </cell>
          <cell r="G104" t="str">
            <v>Tucson,  AZ</v>
          </cell>
          <cell r="H104">
            <v>2266</v>
          </cell>
          <cell r="J104">
            <v>2266</v>
          </cell>
        </row>
        <row r="105">
          <cell r="D105" t="str">
            <v>Senckenberg Museum für Naturkunde</v>
          </cell>
          <cell r="F105" t="str">
            <v xml:space="preserve"> Germany</v>
          </cell>
          <cell r="G105" t="str">
            <v>Görlitz</v>
          </cell>
          <cell r="H105">
            <v>2263</v>
          </cell>
          <cell r="J105">
            <v>2263</v>
          </cell>
        </row>
        <row r="106">
          <cell r="D106" t="str">
            <v>Museu de Zoologia da USP</v>
          </cell>
          <cell r="E106" t="str">
            <v>MZUSP</v>
          </cell>
          <cell r="F106" t="str">
            <v xml:space="preserve"> Brazil</v>
          </cell>
          <cell r="G106" t="str">
            <v>São Paulo</v>
          </cell>
          <cell r="H106">
            <v>2200</v>
          </cell>
          <cell r="J106">
            <v>2200</v>
          </cell>
        </row>
        <row r="107">
          <cell r="D107" t="str">
            <v>University of Nevada - Reno</v>
          </cell>
          <cell r="E107" t="str">
            <v>UNR</v>
          </cell>
          <cell r="F107" t="str">
            <v xml:space="preserve"> USA</v>
          </cell>
          <cell r="G107" t="str">
            <v>Reno,  NV</v>
          </cell>
          <cell r="H107">
            <v>2181</v>
          </cell>
          <cell r="J107">
            <v>2181</v>
          </cell>
        </row>
        <row r="108">
          <cell r="D108" t="str">
            <v>Saffron Walden Museum</v>
          </cell>
          <cell r="E108" t="str">
            <v>SWM</v>
          </cell>
          <cell r="F108" t="str">
            <v xml:space="preserve"> UK</v>
          </cell>
          <cell r="G108" t="str">
            <v>Essex</v>
          </cell>
          <cell r="I108">
            <v>6540</v>
          </cell>
          <cell r="J108">
            <v>2180</v>
          </cell>
        </row>
        <row r="109">
          <cell r="D109" t="str">
            <v>Zoologisches Museum der Universität Greifswald</v>
          </cell>
          <cell r="F109" t="str">
            <v xml:space="preserve"> Germany</v>
          </cell>
          <cell r="G109" t="str">
            <v>Greifswald</v>
          </cell>
          <cell r="H109">
            <v>2161</v>
          </cell>
          <cell r="J109">
            <v>2161</v>
          </cell>
        </row>
        <row r="110">
          <cell r="D110" t="str">
            <v>Milwaukee Public Museum</v>
          </cell>
          <cell r="E110" t="str">
            <v>MPM</v>
          </cell>
          <cell r="F110" t="str">
            <v xml:space="preserve"> USA</v>
          </cell>
          <cell r="G110" t="str">
            <v>Milwaukee,  WI</v>
          </cell>
          <cell r="H110">
            <v>2161</v>
          </cell>
          <cell r="J110">
            <v>2161</v>
          </cell>
        </row>
        <row r="111">
          <cell r="D111" t="str">
            <v>British Columbia Provincial Museum</v>
          </cell>
          <cell r="F111" t="str">
            <v xml:space="preserve"> Canada</v>
          </cell>
          <cell r="G111" t="str">
            <v>Victoria</v>
          </cell>
          <cell r="H111">
            <v>2158</v>
          </cell>
          <cell r="J111">
            <v>2158</v>
          </cell>
        </row>
        <row r="112">
          <cell r="D112" t="str">
            <v>Virginia Polytechnic Institute and University</v>
          </cell>
          <cell r="F112" t="str">
            <v xml:space="preserve"> USA</v>
          </cell>
          <cell r="G112" t="str">
            <v>Blacksburg,  VA</v>
          </cell>
          <cell r="H112">
            <v>2100</v>
          </cell>
          <cell r="J112">
            <v>2100</v>
          </cell>
        </row>
        <row r="113">
          <cell r="D113" t="str">
            <v>Anniston Museum of Natural History</v>
          </cell>
          <cell r="F113" t="str">
            <v xml:space="preserve"> USA</v>
          </cell>
          <cell r="G113" t="str">
            <v>Anniston,  AL</v>
          </cell>
          <cell r="H113">
            <v>2050</v>
          </cell>
          <cell r="J113">
            <v>2050</v>
          </cell>
        </row>
        <row r="114">
          <cell r="D114" t="str">
            <v>Cleveland Museum of Natural History</v>
          </cell>
          <cell r="E114" t="str">
            <v>CMNH</v>
          </cell>
          <cell r="F114" t="str">
            <v xml:space="preserve"> USA</v>
          </cell>
          <cell r="G114" t="str">
            <v>Cleveland,  OH</v>
          </cell>
          <cell r="H114">
            <v>2027</v>
          </cell>
          <cell r="J114">
            <v>2027</v>
          </cell>
        </row>
        <row r="115">
          <cell r="D115" t="str">
            <v>Musée zoologique de l’Université Louis Pasteur et de la Ville de Strasbourg</v>
          </cell>
          <cell r="E115" t="str">
            <v>MZS</v>
          </cell>
          <cell r="F115" t="str">
            <v xml:space="preserve"> France</v>
          </cell>
          <cell r="G115" t="str">
            <v>Strasbourg</v>
          </cell>
          <cell r="H115">
            <v>2023</v>
          </cell>
          <cell r="J115">
            <v>2023</v>
          </cell>
        </row>
        <row r="116">
          <cell r="D116" t="str">
            <v>Muzeum Przyrodnicze</v>
          </cell>
          <cell r="E116" t="str">
            <v>MPUW</v>
          </cell>
          <cell r="F116" t="str">
            <v xml:space="preserve"> Poland</v>
          </cell>
          <cell r="G116" t="str">
            <v>Wroclaw</v>
          </cell>
          <cell r="H116">
            <v>2000</v>
          </cell>
          <cell r="J116">
            <v>2000</v>
          </cell>
        </row>
        <row r="117">
          <cell r="D117" t="str">
            <v>Oxford University Museumm of Natural History</v>
          </cell>
          <cell r="E117" t="str">
            <v>OUM</v>
          </cell>
          <cell r="F117" t="str">
            <v xml:space="preserve"> UK</v>
          </cell>
          <cell r="G117" t="str">
            <v>Oxford</v>
          </cell>
          <cell r="H117">
            <v>2000</v>
          </cell>
          <cell r="J117">
            <v>2000</v>
          </cell>
        </row>
        <row r="118">
          <cell r="D118" t="str">
            <v>Muséum d’Histoire Naturelle de Neuchâtel</v>
          </cell>
          <cell r="E118" t="str">
            <v>MHNNL</v>
          </cell>
          <cell r="F118" t="str">
            <v xml:space="preserve"> Switzerland</v>
          </cell>
          <cell r="G118" t="str">
            <v>Neuchâtel</v>
          </cell>
          <cell r="I118">
            <v>6000</v>
          </cell>
          <cell r="J118">
            <v>2000</v>
          </cell>
        </row>
        <row r="119">
          <cell r="D119" t="str">
            <v>Museum of Natural History - University of Kansas</v>
          </cell>
          <cell r="F119" t="str">
            <v xml:space="preserve"> USA</v>
          </cell>
          <cell r="G119" t="str">
            <v>Lawrence,  KS</v>
          </cell>
          <cell r="H119">
            <v>1835</v>
          </cell>
          <cell r="J119">
            <v>1835</v>
          </cell>
        </row>
        <row r="120">
          <cell r="D120" t="str">
            <v>Cornell University</v>
          </cell>
          <cell r="E120" t="str">
            <v>CUMV</v>
          </cell>
          <cell r="F120" t="str">
            <v xml:space="preserve"> USA</v>
          </cell>
          <cell r="G120" t="str">
            <v>Ithaca,  NY</v>
          </cell>
          <cell r="H120">
            <v>1800</v>
          </cell>
          <cell r="J120">
            <v>1800</v>
          </cell>
        </row>
        <row r="121">
          <cell r="D121" t="str">
            <v>Durban Natural Science Museum</v>
          </cell>
          <cell r="F121" t="str">
            <v xml:space="preserve"> South Africa</v>
          </cell>
          <cell r="G121" t="str">
            <v>Durban</v>
          </cell>
          <cell r="H121">
            <v>1770</v>
          </cell>
          <cell r="J121">
            <v>1770</v>
          </cell>
        </row>
        <row r="122">
          <cell r="D122" t="str">
            <v>Muséum d’Histoire Naturelle de Toulouse</v>
          </cell>
          <cell r="E122" t="str">
            <v>MHNT</v>
          </cell>
          <cell r="F122" t="str">
            <v xml:space="preserve"> France</v>
          </cell>
          <cell r="G122" t="str">
            <v>Toulouse</v>
          </cell>
          <cell r="I122">
            <v>5300</v>
          </cell>
          <cell r="J122">
            <v>1766.6666666666667</v>
          </cell>
        </row>
        <row r="123">
          <cell r="D123" t="str">
            <v>Queensland Museum</v>
          </cell>
          <cell r="E123" t="str">
            <v>QM</v>
          </cell>
          <cell r="F123" t="str">
            <v xml:space="preserve"> Australia</v>
          </cell>
          <cell r="G123" t="str">
            <v>Brisbane</v>
          </cell>
          <cell r="I123">
            <v>5150</v>
          </cell>
          <cell r="J123">
            <v>1716.6666666666667</v>
          </cell>
        </row>
        <row r="124">
          <cell r="D124" t="str">
            <v>Cowan Vertebrate Museum</v>
          </cell>
          <cell r="F124" t="str">
            <v xml:space="preserve"> Canada</v>
          </cell>
          <cell r="G124" t="str">
            <v>Vancouver</v>
          </cell>
          <cell r="H124">
            <v>1700</v>
          </cell>
          <cell r="J124">
            <v>1700</v>
          </cell>
        </row>
        <row r="125">
          <cell r="D125" t="str">
            <v>Universitets Museet i Tromsø</v>
          </cell>
          <cell r="E125" t="str">
            <v>TSZV</v>
          </cell>
          <cell r="F125" t="str">
            <v xml:space="preserve"> Norway</v>
          </cell>
          <cell r="G125" t="str">
            <v>Tromsø</v>
          </cell>
          <cell r="H125">
            <v>1700</v>
          </cell>
          <cell r="J125">
            <v>1700</v>
          </cell>
        </row>
        <row r="126">
          <cell r="D126" t="str">
            <v>University of Arkansas</v>
          </cell>
          <cell r="E126" t="str">
            <v>UAFMC</v>
          </cell>
          <cell r="F126" t="str">
            <v xml:space="preserve"> USA</v>
          </cell>
          <cell r="G126" t="str">
            <v>Fayetteville,  AR</v>
          </cell>
          <cell r="H126">
            <v>1678</v>
          </cell>
          <cell r="J126">
            <v>1678</v>
          </cell>
        </row>
        <row r="127">
          <cell r="D127" t="str">
            <v>Western Australian Museum</v>
          </cell>
          <cell r="E127" t="str">
            <v>WAM</v>
          </cell>
          <cell r="F127" t="str">
            <v xml:space="preserve"> Australia</v>
          </cell>
          <cell r="G127" t="str">
            <v>Perth</v>
          </cell>
          <cell r="I127">
            <v>4850</v>
          </cell>
          <cell r="J127">
            <v>1616.6666666666667</v>
          </cell>
        </row>
        <row r="128">
          <cell r="D128" t="str">
            <v>Science Museum</v>
          </cell>
          <cell r="F128" t="str">
            <v xml:space="preserve"> USA</v>
          </cell>
          <cell r="G128" t="str">
            <v>Springfield,  MA</v>
          </cell>
          <cell r="H128">
            <v>1612</v>
          </cell>
          <cell r="J128">
            <v>1612</v>
          </cell>
        </row>
        <row r="129">
          <cell r="D129" t="str">
            <v>Koninklijk Museum voor Midden-Afrika</v>
          </cell>
          <cell r="E129" t="str">
            <v>KMMA/MRAC</v>
          </cell>
          <cell r="F129" t="str">
            <v xml:space="preserve"> Belgium</v>
          </cell>
          <cell r="G129" t="str">
            <v>Tervuren</v>
          </cell>
          <cell r="H129">
            <v>1500</v>
          </cell>
          <cell r="J129">
            <v>1500</v>
          </cell>
        </row>
        <row r="130">
          <cell r="D130" t="str">
            <v>University of Turku Zoological Museum</v>
          </cell>
          <cell r="E130" t="str">
            <v>MZT</v>
          </cell>
          <cell r="F130" t="str">
            <v xml:space="preserve"> Finland</v>
          </cell>
          <cell r="G130" t="str">
            <v>Turku</v>
          </cell>
          <cell r="H130">
            <v>1500</v>
          </cell>
          <cell r="J130">
            <v>1500</v>
          </cell>
        </row>
        <row r="131">
          <cell r="D131" t="str">
            <v>Royal Albert Memorial Museum and Art Gallery</v>
          </cell>
          <cell r="E131" t="str">
            <v>EXEMS / RAMM</v>
          </cell>
          <cell r="F131" t="str">
            <v xml:space="preserve"> UK</v>
          </cell>
          <cell r="G131" t="str">
            <v>Exeter</v>
          </cell>
          <cell r="H131">
            <v>1500</v>
          </cell>
          <cell r="J131">
            <v>1500</v>
          </cell>
        </row>
        <row r="132">
          <cell r="D132" t="str">
            <v>University of Colorado Museum of Natural History</v>
          </cell>
          <cell r="E132" t="str">
            <v>UCM</v>
          </cell>
          <cell r="F132" t="str">
            <v xml:space="preserve"> USA</v>
          </cell>
          <cell r="G132" t="str">
            <v>Boulder,  CO</v>
          </cell>
          <cell r="H132">
            <v>1412</v>
          </cell>
          <cell r="J132">
            <v>1412</v>
          </cell>
        </row>
        <row r="133">
          <cell r="D133" t="str">
            <v>Tel-Aviv University Zoological Museum</v>
          </cell>
          <cell r="E133" t="str">
            <v>TAUZM</v>
          </cell>
          <cell r="F133" t="str">
            <v xml:space="preserve"> Israel</v>
          </cell>
          <cell r="G133" t="str">
            <v>Tel Aviv</v>
          </cell>
          <cell r="H133">
            <v>1400</v>
          </cell>
          <cell r="J133">
            <v>1400</v>
          </cell>
        </row>
        <row r="134">
          <cell r="D134" t="str">
            <v>James Ford Bell Museum of Natural History - Parmelle, Dr. David Private Collection</v>
          </cell>
          <cell r="F134" t="str">
            <v xml:space="preserve"> USA</v>
          </cell>
          <cell r="G134" t="str">
            <v>Minneapolis,  MN</v>
          </cell>
          <cell r="H134">
            <v>1372</v>
          </cell>
          <cell r="J134">
            <v>1372</v>
          </cell>
        </row>
        <row r="135">
          <cell r="D135" t="str">
            <v>Zemaljski Muzej Bosne i Hercegovina Sarajevo</v>
          </cell>
          <cell r="E135" t="str">
            <v xml:space="preserve"> </v>
          </cell>
          <cell r="F135" t="str">
            <v xml:space="preserve"> Bosna and Hercegovina</v>
          </cell>
          <cell r="G135" t="str">
            <v>Sarajevo</v>
          </cell>
          <cell r="I135">
            <v>4112</v>
          </cell>
          <cell r="J135">
            <v>1370.6666666666667</v>
          </cell>
        </row>
        <row r="136">
          <cell r="D136" t="str">
            <v>State Museum, University of Nebraska</v>
          </cell>
          <cell r="F136" t="str">
            <v xml:space="preserve"> USA</v>
          </cell>
          <cell r="G136" t="str">
            <v>Lincoln,  NE</v>
          </cell>
          <cell r="H136">
            <v>1358</v>
          </cell>
          <cell r="J136">
            <v>1358</v>
          </cell>
        </row>
        <row r="137">
          <cell r="D137" t="str">
            <v>Museum für Naturkunde</v>
          </cell>
          <cell r="E137" t="str">
            <v>MfNC</v>
          </cell>
          <cell r="F137" t="str">
            <v xml:space="preserve"> Germany</v>
          </cell>
          <cell r="G137" t="str">
            <v>Chemnitz</v>
          </cell>
          <cell r="H137">
            <v>1350</v>
          </cell>
          <cell r="J137">
            <v>1350</v>
          </cell>
        </row>
        <row r="138">
          <cell r="D138" t="str">
            <v>Estacíon Biologica de Doñana</v>
          </cell>
          <cell r="E138" t="str">
            <v>EBD</v>
          </cell>
          <cell r="F138" t="str">
            <v xml:space="preserve"> Spain</v>
          </cell>
          <cell r="G138" t="str">
            <v>Seville</v>
          </cell>
          <cell r="H138">
            <v>1344</v>
          </cell>
          <cell r="J138">
            <v>1344</v>
          </cell>
        </row>
        <row r="139">
          <cell r="D139" t="str">
            <v>Upper Silesian Museum</v>
          </cell>
          <cell r="F139" t="str">
            <v xml:space="preserve"> Poland</v>
          </cell>
          <cell r="G139" t="str">
            <v>Bytom</v>
          </cell>
          <cell r="I139">
            <v>3821</v>
          </cell>
          <cell r="J139">
            <v>1273.6666666666667</v>
          </cell>
        </row>
        <row r="140">
          <cell r="D140" t="str">
            <v>Otago Museum</v>
          </cell>
          <cell r="E140" t="str">
            <v>OM</v>
          </cell>
          <cell r="F140" t="str">
            <v xml:space="preserve"> New Zealand</v>
          </cell>
          <cell r="G140" t="str">
            <v>Dunedin</v>
          </cell>
          <cell r="I140">
            <v>3800</v>
          </cell>
          <cell r="J140">
            <v>1266.6666666666667</v>
          </cell>
        </row>
        <row r="141">
          <cell r="D141" t="str">
            <v>Museum für Naturkunde</v>
          </cell>
          <cell r="E141" t="str">
            <v>MfNM</v>
          </cell>
          <cell r="F141" t="str">
            <v xml:space="preserve"> Germany</v>
          </cell>
          <cell r="G141" t="str">
            <v>Magdeburg</v>
          </cell>
          <cell r="H141">
            <v>1200</v>
          </cell>
          <cell r="J141">
            <v>1200</v>
          </cell>
        </row>
        <row r="142">
          <cell r="D142" t="str">
            <v>Museum der Westlausitz</v>
          </cell>
          <cell r="F142" t="str">
            <v xml:space="preserve"> Germany</v>
          </cell>
          <cell r="G142" t="str">
            <v>Kamenz</v>
          </cell>
          <cell r="H142">
            <v>1200</v>
          </cell>
          <cell r="J142">
            <v>1200</v>
          </cell>
        </row>
        <row r="143">
          <cell r="D143" t="str">
            <v>Muzeul de Istorie Naturala / Museum of Natural History ‘Grigore Antipa of Natural History ‘Grigore Antipa</v>
          </cell>
          <cell r="E143" t="str">
            <v>GAMNH/MGAB</v>
          </cell>
          <cell r="F143" t="str">
            <v xml:space="preserve"> Romania</v>
          </cell>
          <cell r="G143" t="str">
            <v>Bucharest</v>
          </cell>
          <cell r="H143">
            <v>1200</v>
          </cell>
          <cell r="J143">
            <v>1200</v>
          </cell>
        </row>
        <row r="144">
          <cell r="D144" t="str">
            <v>Vychodoslovenské Muzéum Kosice</v>
          </cell>
          <cell r="E144" t="str">
            <v>VSM</v>
          </cell>
          <cell r="F144" t="str">
            <v xml:space="preserve"> Slovakia</v>
          </cell>
          <cell r="G144" t="str">
            <v>Kosice</v>
          </cell>
          <cell r="H144">
            <v>1200</v>
          </cell>
          <cell r="J144">
            <v>1200</v>
          </cell>
        </row>
        <row r="145">
          <cell r="D145" t="str">
            <v>National Museum of Natural History</v>
          </cell>
          <cell r="E145" t="str">
            <v>ZIK or ZMA</v>
          </cell>
          <cell r="F145" t="str">
            <v xml:space="preserve"> Ukraine</v>
          </cell>
          <cell r="G145" t="str">
            <v>Kiev</v>
          </cell>
          <cell r="H145">
            <v>1200</v>
          </cell>
          <cell r="J145">
            <v>1200</v>
          </cell>
        </row>
        <row r="146">
          <cell r="D146" t="str">
            <v>Chicago Academy of Sciences</v>
          </cell>
          <cell r="E146" t="str">
            <v>CHAS</v>
          </cell>
          <cell r="F146" t="str">
            <v xml:space="preserve"> USA</v>
          </cell>
          <cell r="G146" t="str">
            <v>Chicago,  IL</v>
          </cell>
          <cell r="H146">
            <v>1186</v>
          </cell>
          <cell r="J146">
            <v>1186</v>
          </cell>
        </row>
        <row r="147">
          <cell r="D147" t="str">
            <v>Auckland Museum</v>
          </cell>
          <cell r="E147" t="str">
            <v>AIM</v>
          </cell>
          <cell r="F147" t="str">
            <v xml:space="preserve"> New Zealand</v>
          </cell>
          <cell r="G147" t="str">
            <v>Auckland</v>
          </cell>
          <cell r="I147">
            <v>3510</v>
          </cell>
          <cell r="J147">
            <v>1170</v>
          </cell>
        </row>
        <row r="148">
          <cell r="D148" t="str">
            <v>Museum am Schölerberg</v>
          </cell>
          <cell r="F148" t="str">
            <v xml:space="preserve"> Germany</v>
          </cell>
          <cell r="G148" t="str">
            <v>Osnabrück</v>
          </cell>
          <cell r="I148">
            <v>3500</v>
          </cell>
          <cell r="J148">
            <v>1166.6666666666667</v>
          </cell>
        </row>
        <row r="149">
          <cell r="D149" t="str">
            <v>Corpus Christi Museum of Science and History</v>
          </cell>
          <cell r="F149" t="str">
            <v xml:space="preserve"> USA</v>
          </cell>
          <cell r="G149" t="str">
            <v>Corpus Christi,  TX</v>
          </cell>
          <cell r="H149">
            <v>1135</v>
          </cell>
          <cell r="J149">
            <v>1135</v>
          </cell>
        </row>
        <row r="150">
          <cell r="D150" t="str">
            <v>Museu de História Natural–Museu Zoológico, Faculdade de Ciências e Tecnologia da Universidade de Coimbra</v>
          </cell>
          <cell r="E150" t="str">
            <v>MZCoimbra</v>
          </cell>
          <cell r="F150" t="str">
            <v xml:space="preserve"> Portugal</v>
          </cell>
          <cell r="G150" t="str">
            <v>Coimbra</v>
          </cell>
          <cell r="H150">
            <v>1129</v>
          </cell>
          <cell r="J150">
            <v>1129</v>
          </cell>
        </row>
        <row r="151">
          <cell r="D151" t="str">
            <v>Museum of New Zealand</v>
          </cell>
          <cell r="E151" t="str">
            <v>MNZ</v>
          </cell>
          <cell r="F151" t="str">
            <v xml:space="preserve"> New Zealand</v>
          </cell>
          <cell r="G151" t="str">
            <v>Wellington</v>
          </cell>
          <cell r="I151">
            <v>3190</v>
          </cell>
          <cell r="J151">
            <v>1063.3333333333333</v>
          </cell>
        </row>
        <row r="152">
          <cell r="D152" t="str">
            <v>Landesmuseum Wiesbaden</v>
          </cell>
          <cell r="E152" t="str">
            <v>MWHN</v>
          </cell>
          <cell r="F152" t="str">
            <v xml:space="preserve"> Germany</v>
          </cell>
          <cell r="G152" t="str">
            <v>Wiesbaden</v>
          </cell>
          <cell r="H152">
            <v>1030</v>
          </cell>
          <cell r="I152">
            <v>1564</v>
          </cell>
          <cell r="J152">
            <v>1030</v>
          </cell>
        </row>
        <row r="153">
          <cell r="D153" t="str">
            <v>Musée Henri Dupuis</v>
          </cell>
          <cell r="F153" t="str">
            <v xml:space="preserve"> France</v>
          </cell>
          <cell r="G153" t="str">
            <v>Saint-Omer</v>
          </cell>
          <cell r="H153">
            <v>1009</v>
          </cell>
          <cell r="J153">
            <v>1009</v>
          </cell>
        </row>
        <row r="154">
          <cell r="D154" t="str">
            <v>Museo Argentino de Ciencias Naturales</v>
          </cell>
          <cell r="E154" t="str">
            <v>MACN</v>
          </cell>
          <cell r="F154" t="str">
            <v xml:space="preserve"> Argentina</v>
          </cell>
          <cell r="G154" t="str">
            <v>Buenos Aires</v>
          </cell>
          <cell r="H154">
            <v>1000</v>
          </cell>
          <cell r="I154">
            <v>1000</v>
          </cell>
          <cell r="J154">
            <v>1000</v>
          </cell>
        </row>
        <row r="155">
          <cell r="D155" t="str">
            <v>Museu Nacional</v>
          </cell>
          <cell r="E155" t="str">
            <v>MN</v>
          </cell>
          <cell r="F155" t="str">
            <v xml:space="preserve"> Brazil</v>
          </cell>
          <cell r="G155" t="str">
            <v>Rio de Janeiro</v>
          </cell>
          <cell r="H155">
            <v>1000</v>
          </cell>
          <cell r="I155">
            <v>2000</v>
          </cell>
          <cell r="J155">
            <v>1000</v>
          </cell>
        </row>
        <row r="156">
          <cell r="D156" t="str">
            <v>Darwin Museum</v>
          </cell>
          <cell r="E156" t="str">
            <v>SDM</v>
          </cell>
          <cell r="F156" t="str">
            <v xml:space="preserve"> Russia</v>
          </cell>
          <cell r="G156" t="str">
            <v>Moscow</v>
          </cell>
          <cell r="H156">
            <v>1000</v>
          </cell>
          <cell r="J156">
            <v>1000</v>
          </cell>
        </row>
        <row r="157">
          <cell r="D157" t="str">
            <v>Birmingham Museum and Art Gallery</v>
          </cell>
          <cell r="E157" t="str">
            <v>BMAG</v>
          </cell>
          <cell r="F157" t="str">
            <v xml:space="preserve"> UK</v>
          </cell>
          <cell r="G157" t="str">
            <v>Birmingham</v>
          </cell>
          <cell r="H157">
            <v>1000</v>
          </cell>
          <cell r="J157">
            <v>1000</v>
          </cell>
        </row>
        <row r="158">
          <cell r="D158" t="str">
            <v>University of Iowa Museum of Natural History</v>
          </cell>
          <cell r="E158" t="str">
            <v>SUI</v>
          </cell>
          <cell r="F158" t="str">
            <v xml:space="preserve"> USA</v>
          </cell>
          <cell r="G158" t="str">
            <v>Iowa City,  IA</v>
          </cell>
          <cell r="H158">
            <v>1000</v>
          </cell>
          <cell r="J158">
            <v>1000</v>
          </cell>
        </row>
        <row r="159">
          <cell r="D159" t="str">
            <v>Fairbanks Museum</v>
          </cell>
          <cell r="F159" t="str">
            <v xml:space="preserve"> USA</v>
          </cell>
          <cell r="G159" t="str">
            <v>St. Johnsbury,  VT</v>
          </cell>
          <cell r="H159">
            <v>1000</v>
          </cell>
          <cell r="J159">
            <v>1000</v>
          </cell>
        </row>
        <row r="160">
          <cell r="D160" t="str">
            <v>Museum of Natural History, University of Oregon</v>
          </cell>
          <cell r="F160" t="str">
            <v xml:space="preserve"> USA</v>
          </cell>
          <cell r="G160" t="str">
            <v>Eugene,  OR</v>
          </cell>
          <cell r="H160">
            <v>1000</v>
          </cell>
          <cell r="J160">
            <v>1000</v>
          </cell>
        </row>
        <row r="161">
          <cell r="D161" t="str">
            <v>Pfalzmuseum für Naturkunde Pollichia</v>
          </cell>
          <cell r="E161" t="str">
            <v>PMN</v>
          </cell>
          <cell r="F161" t="str">
            <v xml:space="preserve"> Germany</v>
          </cell>
          <cell r="G161" t="str">
            <v>Bad Dürkheim</v>
          </cell>
          <cell r="I161">
            <v>3000</v>
          </cell>
          <cell r="J161">
            <v>1000</v>
          </cell>
        </row>
        <row r="162">
          <cell r="D162" t="str">
            <v>Musée de Zoologie</v>
          </cell>
          <cell r="E162" t="str">
            <v>MZL</v>
          </cell>
          <cell r="F162" t="str">
            <v xml:space="preserve"> Switzerland</v>
          </cell>
          <cell r="G162" t="str">
            <v>Lausanne</v>
          </cell>
          <cell r="I162">
            <v>3000</v>
          </cell>
          <cell r="J162">
            <v>1000</v>
          </cell>
        </row>
        <row r="163">
          <cell r="D163" t="str">
            <v>Shropshire County Museum Service</v>
          </cell>
          <cell r="E163" t="str">
            <v>SHRCM</v>
          </cell>
          <cell r="F163" t="str">
            <v xml:space="preserve"> UK</v>
          </cell>
          <cell r="G163" t="str">
            <v>Ludlow</v>
          </cell>
          <cell r="I163">
            <v>3000</v>
          </cell>
          <cell r="J163">
            <v>1000</v>
          </cell>
        </row>
        <row r="164">
          <cell r="D164" t="str">
            <v>de la Peña, Martín (private collection)</v>
          </cell>
          <cell r="F164" t="str">
            <v xml:space="preserve"> Argentina</v>
          </cell>
          <cell r="G164" t="str">
            <v>Esperanza</v>
          </cell>
          <cell r="H164">
            <v>960</v>
          </cell>
          <cell r="J164">
            <v>960</v>
          </cell>
        </row>
        <row r="165">
          <cell r="D165" t="str">
            <v>University of Arizona Museum of Natural History</v>
          </cell>
          <cell r="E165" t="str">
            <v>UAZ</v>
          </cell>
          <cell r="F165" t="str">
            <v xml:space="preserve"> USA</v>
          </cell>
          <cell r="G165" t="str">
            <v>Tucson,  AZ</v>
          </cell>
          <cell r="H165">
            <v>945</v>
          </cell>
          <cell r="J165">
            <v>945</v>
          </cell>
        </row>
        <row r="166">
          <cell r="D166" t="str">
            <v>Naturhistorisches Museum Mainz</v>
          </cell>
          <cell r="E166" t="str">
            <v>NHMMZ</v>
          </cell>
          <cell r="F166" t="str">
            <v xml:space="preserve"> Germany</v>
          </cell>
          <cell r="G166" t="str">
            <v>Mainz</v>
          </cell>
          <cell r="H166">
            <v>931</v>
          </cell>
          <cell r="I166">
            <v>2116</v>
          </cell>
          <cell r="J166">
            <v>931</v>
          </cell>
        </row>
        <row r="167">
          <cell r="D167" t="str">
            <v>Boston Museum of Science</v>
          </cell>
          <cell r="F167" t="str">
            <v xml:space="preserve"> USA</v>
          </cell>
          <cell r="G167" t="str">
            <v>Boston,  MA</v>
          </cell>
          <cell r="H167">
            <v>925</v>
          </cell>
          <cell r="J167">
            <v>925</v>
          </cell>
        </row>
        <row r="168">
          <cell r="D168" t="str">
            <v>Kaunas Zoological Museum</v>
          </cell>
          <cell r="E168" t="str">
            <v xml:space="preserve"> </v>
          </cell>
          <cell r="F168" t="str">
            <v xml:space="preserve"> Lithuania</v>
          </cell>
          <cell r="G168" t="str">
            <v>Kaunas</v>
          </cell>
          <cell r="H168">
            <v>872</v>
          </cell>
          <cell r="J168">
            <v>872</v>
          </cell>
        </row>
        <row r="169">
          <cell r="D169" t="str">
            <v>Ornithological Museum</v>
          </cell>
          <cell r="F169" t="str">
            <v xml:space="preserve"> Sweden</v>
          </cell>
          <cell r="G169" t="str">
            <v>Jönköping</v>
          </cell>
          <cell r="I169">
            <v>2580</v>
          </cell>
          <cell r="J169">
            <v>860</v>
          </cell>
        </row>
        <row r="170">
          <cell r="D170" t="str">
            <v>Queen Victoria Museum and Art Gallery</v>
          </cell>
          <cell r="E170" t="str">
            <v>QVM</v>
          </cell>
          <cell r="F170" t="str">
            <v xml:space="preserve"> Australia</v>
          </cell>
          <cell r="G170" t="str">
            <v>Launceston</v>
          </cell>
          <cell r="I170">
            <v>2500</v>
          </cell>
          <cell r="J170">
            <v>833.33333333333337</v>
          </cell>
        </row>
        <row r="171">
          <cell r="D171" t="str">
            <v>Zoologische Staatssammlung</v>
          </cell>
          <cell r="E171" t="str">
            <v>ZSM</v>
          </cell>
          <cell r="F171" t="str">
            <v xml:space="preserve"> Germany</v>
          </cell>
          <cell r="G171" t="str">
            <v>München</v>
          </cell>
          <cell r="I171">
            <v>2500</v>
          </cell>
          <cell r="J171">
            <v>833.33333333333337</v>
          </cell>
        </row>
        <row r="172">
          <cell r="D172" t="str">
            <v>Naturwissenschaftliches Museum</v>
          </cell>
          <cell r="F172" t="str">
            <v xml:space="preserve"> Germany</v>
          </cell>
          <cell r="G172" t="str">
            <v>Flensburg</v>
          </cell>
          <cell r="I172">
            <v>2500</v>
          </cell>
          <cell r="J172">
            <v>833.33333333333337</v>
          </cell>
        </row>
        <row r="173">
          <cell r="D173" t="str">
            <v>Instituto Miguel Lillo</v>
          </cell>
          <cell r="F173" t="str">
            <v xml:space="preserve"> Argentina</v>
          </cell>
          <cell r="G173" t="str">
            <v>San Miguel de Tucumán</v>
          </cell>
          <cell r="I173">
            <v>2437</v>
          </cell>
          <cell r="J173">
            <v>812.33333333333337</v>
          </cell>
        </row>
        <row r="174">
          <cell r="D174" t="str">
            <v>Sarisske Museum</v>
          </cell>
          <cell r="E174" t="str">
            <v>SMB</v>
          </cell>
          <cell r="F174" t="str">
            <v xml:space="preserve"> Slovakia</v>
          </cell>
          <cell r="G174" t="str">
            <v>Bardejov</v>
          </cell>
          <cell r="H174">
            <v>800</v>
          </cell>
          <cell r="J174">
            <v>800</v>
          </cell>
        </row>
        <row r="175">
          <cell r="D175" t="str">
            <v>Zoologisches Museum der Universität Zürich-Irchel</v>
          </cell>
          <cell r="E175" t="str">
            <v>ZMUZ</v>
          </cell>
          <cell r="F175" t="str">
            <v xml:space="preserve"> Switzerland</v>
          </cell>
          <cell r="G175" t="str">
            <v>Zürich</v>
          </cell>
          <cell r="H175">
            <v>800</v>
          </cell>
          <cell r="J175">
            <v>800</v>
          </cell>
        </row>
        <row r="176">
          <cell r="D176" t="str">
            <v>University of Connecticut, Biodiversity Research Collections</v>
          </cell>
          <cell r="E176" t="str">
            <v>UCONN</v>
          </cell>
          <cell r="F176" t="str">
            <v xml:space="preserve"> USA</v>
          </cell>
          <cell r="G176" t="str">
            <v>Storrs,  CT</v>
          </cell>
          <cell r="H176">
            <v>800</v>
          </cell>
          <cell r="J176">
            <v>800</v>
          </cell>
        </row>
        <row r="177">
          <cell r="D177" t="str">
            <v>University of Wisconsin-Madison</v>
          </cell>
          <cell r="F177" t="str">
            <v xml:space="preserve"> USA</v>
          </cell>
          <cell r="G177" t="str">
            <v>Madison,  WI</v>
          </cell>
          <cell r="H177">
            <v>800</v>
          </cell>
          <cell r="J177">
            <v>800</v>
          </cell>
        </row>
        <row r="178">
          <cell r="D178" t="str">
            <v>University of Saskatchewan</v>
          </cell>
          <cell r="F178" t="str">
            <v xml:space="preserve"> Canada</v>
          </cell>
          <cell r="G178" t="str">
            <v>Saskatoon</v>
          </cell>
          <cell r="H178">
            <v>750</v>
          </cell>
          <cell r="J178">
            <v>750</v>
          </cell>
        </row>
        <row r="179">
          <cell r="D179" t="str">
            <v>Lyzeum</v>
          </cell>
          <cell r="F179" t="str">
            <v xml:space="preserve"> Romania</v>
          </cell>
          <cell r="G179" t="str">
            <v>Reghin</v>
          </cell>
          <cell r="I179">
            <v>2217</v>
          </cell>
          <cell r="J179">
            <v>739</v>
          </cell>
        </row>
        <row r="180">
          <cell r="D180" t="str">
            <v>Museum of Natural History, University of Illinois at Urbana-Champaign</v>
          </cell>
          <cell r="F180" t="str">
            <v xml:space="preserve"> USA</v>
          </cell>
          <cell r="G180" t="str">
            <v>Urbana,  IL</v>
          </cell>
          <cell r="H180">
            <v>719</v>
          </cell>
          <cell r="J180">
            <v>719</v>
          </cell>
        </row>
        <row r="181">
          <cell r="D181" t="str">
            <v>University of New Mexico</v>
          </cell>
          <cell r="F181" t="str">
            <v xml:space="preserve"> USA</v>
          </cell>
          <cell r="G181" t="str">
            <v>Albuquerque,  NM</v>
          </cell>
          <cell r="H181">
            <v>717</v>
          </cell>
          <cell r="J181">
            <v>717</v>
          </cell>
        </row>
        <row r="182">
          <cell r="D182" t="str">
            <v>Musée des Confluences</v>
          </cell>
          <cell r="F182" t="str">
            <v xml:space="preserve"> France</v>
          </cell>
          <cell r="G182" t="str">
            <v>Lyon</v>
          </cell>
          <cell r="H182">
            <v>713</v>
          </cell>
          <cell r="J182">
            <v>713</v>
          </cell>
        </row>
        <row r="183">
          <cell r="D183" t="str">
            <v>William Penn Memorial Museum</v>
          </cell>
          <cell r="F183" t="str">
            <v xml:space="preserve"> USA</v>
          </cell>
          <cell r="G183" t="str">
            <v>Harrisburg,  PA</v>
          </cell>
          <cell r="H183">
            <v>701</v>
          </cell>
          <cell r="J183">
            <v>701</v>
          </cell>
        </row>
        <row r="184">
          <cell r="D184" t="str">
            <v>University of the South</v>
          </cell>
          <cell r="F184" t="str">
            <v xml:space="preserve"> USA</v>
          </cell>
          <cell r="G184" t="str">
            <v>Sewanee,  TN</v>
          </cell>
          <cell r="H184">
            <v>698</v>
          </cell>
          <cell r="J184">
            <v>698</v>
          </cell>
        </row>
        <row r="185">
          <cell r="D185" t="str">
            <v>Instituto de Ecología y Sistemática</v>
          </cell>
          <cell r="E185" t="str">
            <v>IES</v>
          </cell>
          <cell r="F185" t="str">
            <v xml:space="preserve"> Cuba</v>
          </cell>
          <cell r="G185" t="str">
            <v>La Havana</v>
          </cell>
          <cell r="H185">
            <v>695</v>
          </cell>
          <cell r="J185">
            <v>695</v>
          </cell>
        </row>
        <row r="186">
          <cell r="D186" t="str">
            <v>Humboldt State University</v>
          </cell>
          <cell r="E186" t="str">
            <v>HSU</v>
          </cell>
          <cell r="F186" t="str">
            <v xml:space="preserve"> USA</v>
          </cell>
          <cell r="G186" t="str">
            <v>Arcata,  CA</v>
          </cell>
          <cell r="H186">
            <v>674</v>
          </cell>
          <cell r="J186">
            <v>674</v>
          </cell>
        </row>
        <row r="187">
          <cell r="D187" t="str">
            <v>Joseph Moore Museum, Earlham College</v>
          </cell>
          <cell r="F187" t="str">
            <v xml:space="preserve"> USA</v>
          </cell>
          <cell r="G187" t="str">
            <v>Richmond,  IN</v>
          </cell>
          <cell r="H187">
            <v>673</v>
          </cell>
          <cell r="J187">
            <v>673</v>
          </cell>
        </row>
        <row r="188">
          <cell r="D188" t="str">
            <v>Phyletisches Museum Jena</v>
          </cell>
          <cell r="E188" t="str">
            <v>PMJ</v>
          </cell>
          <cell r="F188" t="str">
            <v xml:space="preserve"> Germany</v>
          </cell>
          <cell r="G188" t="str">
            <v>Jena</v>
          </cell>
          <cell r="H188">
            <v>671</v>
          </cell>
          <cell r="I188">
            <v>1273</v>
          </cell>
          <cell r="J188">
            <v>671</v>
          </cell>
        </row>
        <row r="189">
          <cell r="D189" t="str">
            <v>Yorkshire Museum</v>
          </cell>
          <cell r="E189" t="str">
            <v xml:space="preserve"> </v>
          </cell>
          <cell r="F189" t="str">
            <v xml:space="preserve"> UK</v>
          </cell>
          <cell r="G189" t="str">
            <v>York</v>
          </cell>
          <cell r="I189">
            <v>2000</v>
          </cell>
          <cell r="J189">
            <v>666.66666666666663</v>
          </cell>
        </row>
        <row r="190">
          <cell r="D190" t="str">
            <v>Buffalo Museum of Science</v>
          </cell>
          <cell r="F190" t="str">
            <v xml:space="preserve"> USA</v>
          </cell>
          <cell r="G190" t="str">
            <v>Buffalo,  NY</v>
          </cell>
          <cell r="H190">
            <v>615</v>
          </cell>
          <cell r="J190">
            <v>615</v>
          </cell>
        </row>
        <row r="191">
          <cell r="D191" t="str">
            <v>Staatliches Museum für Naturkunde</v>
          </cell>
          <cell r="E191" t="str">
            <v>SMNK</v>
          </cell>
          <cell r="F191" t="str">
            <v xml:space="preserve"> Germany</v>
          </cell>
          <cell r="G191" t="str">
            <v>Karlsruhe</v>
          </cell>
          <cell r="H191">
            <v>600</v>
          </cell>
          <cell r="J191">
            <v>600</v>
          </cell>
        </row>
        <row r="192">
          <cell r="D192" t="str">
            <v>University of Minnesota (Bell Museum)</v>
          </cell>
          <cell r="E192" t="str">
            <v>MMNH</v>
          </cell>
          <cell r="F192" t="str">
            <v xml:space="preserve"> USA</v>
          </cell>
          <cell r="G192" t="str">
            <v>Minneapolis,  MN</v>
          </cell>
          <cell r="H192">
            <v>600</v>
          </cell>
          <cell r="J192">
            <v>600</v>
          </cell>
        </row>
        <row r="193">
          <cell r="D193" t="str">
            <v>Muzeum Okregowe</v>
          </cell>
          <cell r="E193" t="str">
            <v xml:space="preserve"> </v>
          </cell>
          <cell r="F193" t="str">
            <v xml:space="preserve"> Poland</v>
          </cell>
          <cell r="G193" t="str">
            <v>Czestochowa</v>
          </cell>
          <cell r="H193">
            <v>567</v>
          </cell>
          <cell r="I193" t="str">
            <v xml:space="preserve"> </v>
          </cell>
          <cell r="J193">
            <v>567</v>
          </cell>
        </row>
        <row r="194">
          <cell r="D194" t="str">
            <v>Adams State College</v>
          </cell>
          <cell r="F194" t="str">
            <v xml:space="preserve"> USA</v>
          </cell>
          <cell r="G194" t="str">
            <v>Alamosa,  CO</v>
          </cell>
          <cell r="H194">
            <v>566</v>
          </cell>
          <cell r="J194">
            <v>566</v>
          </cell>
        </row>
        <row r="195">
          <cell r="D195" t="str">
            <v>Zavod za Ornitologiju /Institute of Ornithology</v>
          </cell>
          <cell r="E195" t="str">
            <v>ZOO</v>
          </cell>
          <cell r="F195" t="str">
            <v xml:space="preserve"> Croatia</v>
          </cell>
          <cell r="G195" t="str">
            <v>Zagreb</v>
          </cell>
          <cell r="H195">
            <v>557</v>
          </cell>
          <cell r="J195">
            <v>557</v>
          </cell>
        </row>
        <row r="196">
          <cell r="D196" t="str">
            <v>Naturkundemuseum Erfurt</v>
          </cell>
          <cell r="F196" t="str">
            <v xml:space="preserve"> Germany</v>
          </cell>
          <cell r="G196" t="str">
            <v>Erfurt</v>
          </cell>
          <cell r="H196">
            <v>545</v>
          </cell>
          <cell r="J196">
            <v>545</v>
          </cell>
        </row>
        <row r="197">
          <cell r="D197" t="str">
            <v>Strecker Museum (now: Mayborn Museum)</v>
          </cell>
          <cell r="F197" t="str">
            <v xml:space="preserve"> USA</v>
          </cell>
          <cell r="G197" t="str">
            <v>Waco,  TX</v>
          </cell>
          <cell r="I197">
            <v>1623</v>
          </cell>
          <cell r="J197">
            <v>541</v>
          </cell>
        </row>
        <row r="198">
          <cell r="D198" t="str">
            <v>Coleção Ornitológica Marcelo Bagno, Universidade de Brasília</v>
          </cell>
          <cell r="E198" t="str">
            <v>COMB</v>
          </cell>
          <cell r="F198" t="str">
            <v xml:space="preserve"> Brazil</v>
          </cell>
          <cell r="G198" t="str">
            <v>Brasília</v>
          </cell>
          <cell r="H198">
            <v>531</v>
          </cell>
          <cell r="J198">
            <v>531</v>
          </cell>
        </row>
        <row r="199">
          <cell r="D199" t="str">
            <v>Muzeul Brukenthal – Muzeul de Istorie Naturala</v>
          </cell>
          <cell r="E199" t="str">
            <v>MBS</v>
          </cell>
          <cell r="F199" t="str">
            <v xml:space="preserve"> Romania</v>
          </cell>
          <cell r="G199" t="str">
            <v>Sibiu</v>
          </cell>
          <cell r="I199">
            <v>1575</v>
          </cell>
          <cell r="J199">
            <v>525</v>
          </cell>
        </row>
        <row r="200">
          <cell r="D200" t="str">
            <v>Muséum d’Histoire Naturelle de Fribourg</v>
          </cell>
          <cell r="E200" t="str">
            <v>MHNF</v>
          </cell>
          <cell r="F200" t="str">
            <v xml:space="preserve"> Switzerland</v>
          </cell>
          <cell r="G200" t="str">
            <v>Fribourg</v>
          </cell>
          <cell r="H200">
            <v>515</v>
          </cell>
          <cell r="J200">
            <v>515</v>
          </cell>
        </row>
        <row r="201">
          <cell r="D201" t="str">
            <v>Museo de La Plata</v>
          </cell>
          <cell r="E201" t="str">
            <v>MLP</v>
          </cell>
          <cell r="F201" t="str">
            <v xml:space="preserve"> Argentina</v>
          </cell>
          <cell r="G201" t="str">
            <v>La Plata</v>
          </cell>
          <cell r="H201">
            <v>500</v>
          </cell>
          <cell r="J201">
            <v>500</v>
          </cell>
        </row>
        <row r="202">
          <cell r="D202" t="str">
            <v>Zoologische Sammlung der Universität Tübingen</v>
          </cell>
          <cell r="E202" t="str">
            <v>ZST</v>
          </cell>
          <cell r="F202" t="str">
            <v xml:space="preserve"> Germany</v>
          </cell>
          <cell r="G202" t="str">
            <v>Tübingen</v>
          </cell>
          <cell r="H202">
            <v>500</v>
          </cell>
          <cell r="J202">
            <v>500</v>
          </cell>
        </row>
        <row r="203">
          <cell r="D203" t="str">
            <v>Cris-River Regional Museum</v>
          </cell>
          <cell r="E203" t="str">
            <v>CRRM</v>
          </cell>
          <cell r="F203" t="str">
            <v xml:space="preserve"> Romania</v>
          </cell>
          <cell r="G203" t="str">
            <v>Oradea</v>
          </cell>
          <cell r="H203">
            <v>500</v>
          </cell>
          <cell r="J203">
            <v>500</v>
          </cell>
        </row>
        <row r="204">
          <cell r="D204" t="str">
            <v>Natuurmuseum Rotterdam</v>
          </cell>
          <cell r="E204" t="str">
            <v>NMR</v>
          </cell>
          <cell r="F204" t="str">
            <v xml:space="preserve"> The Netherlands</v>
          </cell>
          <cell r="G204" t="str">
            <v>Rotterdam</v>
          </cell>
          <cell r="H204">
            <v>500</v>
          </cell>
          <cell r="J204">
            <v>500</v>
          </cell>
        </row>
        <row r="205">
          <cell r="D205" t="str">
            <v>Bates College</v>
          </cell>
          <cell r="F205" t="str">
            <v xml:space="preserve"> USA</v>
          </cell>
          <cell r="G205" t="str">
            <v>Lewiston,  ME</v>
          </cell>
          <cell r="H205">
            <v>500</v>
          </cell>
          <cell r="J205">
            <v>500</v>
          </cell>
        </row>
        <row r="206">
          <cell r="D206" t="str">
            <v>More, Robert L., Sr. (private collection)</v>
          </cell>
          <cell r="F206" t="str">
            <v xml:space="preserve"> USA</v>
          </cell>
          <cell r="G206" t="str">
            <v>Vernon,  TX</v>
          </cell>
          <cell r="H206">
            <v>500</v>
          </cell>
          <cell r="J206">
            <v>500</v>
          </cell>
        </row>
        <row r="207">
          <cell r="D207" t="str">
            <v>Rochester Museum and Science Center</v>
          </cell>
          <cell r="E207" t="str">
            <v>RMSC</v>
          </cell>
          <cell r="F207" t="str">
            <v xml:space="preserve"> USA</v>
          </cell>
          <cell r="G207" t="str">
            <v>Rochester,  NY</v>
          </cell>
          <cell r="H207">
            <v>500</v>
          </cell>
          <cell r="J207">
            <v>500</v>
          </cell>
        </row>
        <row r="208">
          <cell r="D208" t="str">
            <v>University of Miami</v>
          </cell>
          <cell r="F208" t="str">
            <v xml:space="preserve"> USA</v>
          </cell>
          <cell r="G208" t="str">
            <v>Coral Gables,  FL</v>
          </cell>
          <cell r="H208">
            <v>500</v>
          </cell>
          <cell r="J208">
            <v>500</v>
          </cell>
        </row>
        <row r="209">
          <cell r="D209" t="str">
            <v>Pacific Union College</v>
          </cell>
          <cell r="F209" t="str">
            <v xml:space="preserve"> USA</v>
          </cell>
          <cell r="G209" t="str">
            <v>Angwin,  CA</v>
          </cell>
          <cell r="H209">
            <v>500</v>
          </cell>
          <cell r="J209">
            <v>500</v>
          </cell>
        </row>
        <row r="210">
          <cell r="D210" t="str">
            <v>Macleay Museum</v>
          </cell>
          <cell r="E210" t="str">
            <v>MMUS</v>
          </cell>
          <cell r="F210" t="str">
            <v xml:space="preserve"> Australia</v>
          </cell>
          <cell r="G210" t="str">
            <v>Sydney</v>
          </cell>
          <cell r="I210">
            <v>1500</v>
          </cell>
          <cell r="J210">
            <v>500</v>
          </cell>
        </row>
        <row r="211">
          <cell r="D211" t="str">
            <v>Museo Nacional de Costa Rica</v>
          </cell>
          <cell r="F211" t="str">
            <v xml:space="preserve"> Costa Rica</v>
          </cell>
          <cell r="G211" t="str">
            <v>San Jose</v>
          </cell>
          <cell r="H211">
            <v>491</v>
          </cell>
          <cell r="J211">
            <v>491</v>
          </cell>
        </row>
        <row r="212">
          <cell r="D212" t="str">
            <v>Moore Laboratory of Zoology, Occidental College</v>
          </cell>
          <cell r="E212" t="str">
            <v>MLZ</v>
          </cell>
          <cell r="F212" t="str">
            <v xml:space="preserve"> USA</v>
          </cell>
          <cell r="G212" t="str">
            <v>Los Angeles,  CA</v>
          </cell>
          <cell r="H212">
            <v>483</v>
          </cell>
          <cell r="J212">
            <v>483</v>
          </cell>
        </row>
        <row r="213">
          <cell r="D213" t="str">
            <v>Benedykt Dybowsky Zoological Museum of the Ivan Franko Lviv National University</v>
          </cell>
          <cell r="E213" t="str">
            <v xml:space="preserve"> </v>
          </cell>
          <cell r="F213" t="str">
            <v xml:space="preserve"> Ukraine</v>
          </cell>
          <cell r="G213" t="str">
            <v>Lvov</v>
          </cell>
          <cell r="H213">
            <v>476</v>
          </cell>
          <cell r="J213">
            <v>476</v>
          </cell>
        </row>
        <row r="214">
          <cell r="D214" t="str">
            <v>University of Texas at El Paso Biodiversity Collections</v>
          </cell>
          <cell r="E214" t="str">
            <v>UTEP</v>
          </cell>
          <cell r="F214" t="str">
            <v xml:space="preserve"> USA</v>
          </cell>
          <cell r="G214" t="str">
            <v>El Paso,  TX</v>
          </cell>
          <cell r="H214">
            <v>470</v>
          </cell>
          <cell r="J214">
            <v>470</v>
          </cell>
        </row>
        <row r="215">
          <cell r="D215" t="str">
            <v>Natuurhistorisch Museum Maastricht</v>
          </cell>
          <cell r="E215" t="str">
            <v>NHMM</v>
          </cell>
          <cell r="F215" t="str">
            <v xml:space="preserve"> The Netherlands</v>
          </cell>
          <cell r="G215" t="str">
            <v>Maastricht</v>
          </cell>
          <cell r="I215">
            <v>1370</v>
          </cell>
          <cell r="J215">
            <v>456.66666666666669</v>
          </cell>
        </row>
        <row r="216">
          <cell r="D216" t="str">
            <v>East Tennessee State University</v>
          </cell>
          <cell r="F216" t="str">
            <v xml:space="preserve"> USA</v>
          </cell>
          <cell r="G216" t="str">
            <v>Johnson City,  TN</v>
          </cell>
          <cell r="H216">
            <v>450</v>
          </cell>
          <cell r="J216">
            <v>450</v>
          </cell>
        </row>
        <row r="217">
          <cell r="D217" t="str">
            <v>University of Wisconsin-Stevens Point</v>
          </cell>
          <cell r="F217" t="str">
            <v xml:space="preserve"> USA</v>
          </cell>
          <cell r="G217" t="str">
            <v>Stevens Point,  WI</v>
          </cell>
          <cell r="H217">
            <v>425</v>
          </cell>
          <cell r="J217">
            <v>425</v>
          </cell>
        </row>
        <row r="218">
          <cell r="D218" t="str">
            <v>Saskatchewan Museum of Natural History</v>
          </cell>
          <cell r="F218" t="str">
            <v xml:space="preserve"> Canada</v>
          </cell>
          <cell r="G218" t="str">
            <v>Regina</v>
          </cell>
          <cell r="H218">
            <v>417</v>
          </cell>
          <cell r="J218">
            <v>417</v>
          </cell>
        </row>
        <row r="219">
          <cell r="D219" t="str">
            <v>Tasmanian Museum and Art Gallery</v>
          </cell>
          <cell r="E219" t="str">
            <v>TMAG</v>
          </cell>
          <cell r="F219" t="str">
            <v xml:space="preserve"> Australia</v>
          </cell>
          <cell r="G219" t="str">
            <v>Hobart</v>
          </cell>
          <cell r="I219">
            <v>1250</v>
          </cell>
          <cell r="J219">
            <v>416.66666666666669</v>
          </cell>
        </row>
        <row r="220">
          <cell r="D220" t="str">
            <v>Institute for Nature Conservation of Vojvodina Province</v>
          </cell>
          <cell r="F220" t="str">
            <v xml:space="preserve"> Serbia</v>
          </cell>
          <cell r="G220" t="str">
            <v>Novi Sad</v>
          </cell>
          <cell r="H220">
            <v>405</v>
          </cell>
          <cell r="J220">
            <v>405</v>
          </cell>
        </row>
        <row r="221">
          <cell r="D221" t="str">
            <v>Institute for Protection of Nature of Serbia</v>
          </cell>
          <cell r="E221" t="str">
            <v xml:space="preserve"> </v>
          </cell>
          <cell r="F221" t="str">
            <v>Yugoslavia</v>
          </cell>
          <cell r="G221" t="str">
            <v>Novi Sad</v>
          </cell>
          <cell r="H221">
            <v>405</v>
          </cell>
          <cell r="J221">
            <v>405</v>
          </cell>
        </row>
        <row r="222">
          <cell r="D222" t="str">
            <v>Moscow State University</v>
          </cell>
          <cell r="E222" t="str">
            <v xml:space="preserve"> </v>
          </cell>
          <cell r="F222" t="str">
            <v xml:space="preserve"> Russia</v>
          </cell>
          <cell r="G222" t="str">
            <v>Moscow</v>
          </cell>
          <cell r="H222">
            <v>400</v>
          </cell>
          <cell r="J222">
            <v>400</v>
          </cell>
        </row>
        <row r="223">
          <cell r="D223" t="str">
            <v>Coe College</v>
          </cell>
          <cell r="F223" t="str">
            <v xml:space="preserve"> USA</v>
          </cell>
          <cell r="G223" t="str">
            <v>Cedar Rapids,  IA</v>
          </cell>
          <cell r="H223">
            <v>400</v>
          </cell>
          <cell r="J223">
            <v>400</v>
          </cell>
        </row>
        <row r="224">
          <cell r="D224" t="str">
            <v>Mississippi Museum of Natural Science</v>
          </cell>
          <cell r="E224" t="str">
            <v>MMNS</v>
          </cell>
          <cell r="F224" t="str">
            <v xml:space="preserve"> USA</v>
          </cell>
          <cell r="G224" t="str">
            <v>Jackson,  MS</v>
          </cell>
          <cell r="H224">
            <v>392</v>
          </cell>
          <cell r="J224">
            <v>392</v>
          </cell>
        </row>
        <row r="225">
          <cell r="D225" t="str">
            <v>Peabody Museum of Salem [now: Peabody Essex Museum]</v>
          </cell>
          <cell r="E225" t="str">
            <v>PEM</v>
          </cell>
          <cell r="F225" t="str">
            <v xml:space="preserve"> USA</v>
          </cell>
          <cell r="G225" t="str">
            <v>Salem,  MA</v>
          </cell>
          <cell r="H225">
            <v>392</v>
          </cell>
          <cell r="J225">
            <v>392</v>
          </cell>
        </row>
        <row r="226">
          <cell r="D226" t="str">
            <v>Idaho State University</v>
          </cell>
          <cell r="F226" t="str">
            <v xml:space="preserve"> USA</v>
          </cell>
          <cell r="G226" t="str">
            <v>Pocatello,  ID</v>
          </cell>
          <cell r="H226">
            <v>385</v>
          </cell>
          <cell r="J226">
            <v>385</v>
          </cell>
        </row>
        <row r="227">
          <cell r="D227" t="str">
            <v>Nova Scotia Museum</v>
          </cell>
          <cell r="F227" t="str">
            <v xml:space="preserve"> Canada</v>
          </cell>
          <cell r="G227" t="str">
            <v>Halifax</v>
          </cell>
          <cell r="H227">
            <v>377</v>
          </cell>
          <cell r="J227">
            <v>377</v>
          </cell>
        </row>
        <row r="228">
          <cell r="D228" t="str">
            <v>Museo di Storia Naturale e del Territorio</v>
          </cell>
          <cell r="E228" t="str">
            <v>MSNTP</v>
          </cell>
          <cell r="F228" t="str">
            <v xml:space="preserve"> Italy</v>
          </cell>
          <cell r="G228" t="str">
            <v>Pisa</v>
          </cell>
          <cell r="I228">
            <v>1100</v>
          </cell>
          <cell r="J228">
            <v>366.66666666666669</v>
          </cell>
        </row>
        <row r="229">
          <cell r="D229" t="str">
            <v>Florida State University</v>
          </cell>
          <cell r="F229" t="str">
            <v xml:space="preserve"> USA</v>
          </cell>
          <cell r="G229" t="str">
            <v>Tallahassee,  FL</v>
          </cell>
          <cell r="H229">
            <v>362</v>
          </cell>
          <cell r="J229">
            <v>362</v>
          </cell>
        </row>
        <row r="230">
          <cell r="D230" t="str">
            <v>University of Maine</v>
          </cell>
          <cell r="F230" t="str">
            <v xml:space="preserve"> USA</v>
          </cell>
          <cell r="G230" t="str">
            <v>Orono,  ME</v>
          </cell>
          <cell r="H230">
            <v>360</v>
          </cell>
          <cell r="J230">
            <v>360</v>
          </cell>
        </row>
        <row r="231">
          <cell r="D231" t="str">
            <v>Steiermärkisches Landesmuseum Joanneum</v>
          </cell>
          <cell r="E231" t="str">
            <v>LMJ</v>
          </cell>
          <cell r="F231" t="str">
            <v xml:space="preserve"> Austria</v>
          </cell>
          <cell r="G231" t="str">
            <v>Graz</v>
          </cell>
          <cell r="H231">
            <v>350</v>
          </cell>
          <cell r="J231">
            <v>350</v>
          </cell>
        </row>
        <row r="232">
          <cell r="D232" t="str">
            <v>Museo Zoologico de ‘La Specola’</v>
          </cell>
          <cell r="E232" t="str">
            <v>MZUF</v>
          </cell>
          <cell r="F232" t="str">
            <v xml:space="preserve"> Italy</v>
          </cell>
          <cell r="G232" t="str">
            <v>Florence</v>
          </cell>
          <cell r="H232">
            <v>350</v>
          </cell>
          <cell r="J232">
            <v>350</v>
          </cell>
        </row>
        <row r="233">
          <cell r="D233" t="str">
            <v>Putnam Museum</v>
          </cell>
          <cell r="F233" t="str">
            <v xml:space="preserve"> USA</v>
          </cell>
          <cell r="G233" t="str">
            <v>Davenport,  IA</v>
          </cell>
          <cell r="H233">
            <v>341</v>
          </cell>
          <cell r="J233">
            <v>341</v>
          </cell>
        </row>
        <row r="234">
          <cell r="D234" t="str">
            <v>Zoologische Sammlung der Universität Siegen</v>
          </cell>
          <cell r="F234" t="str">
            <v xml:space="preserve"> Germany</v>
          </cell>
          <cell r="G234" t="str">
            <v>Siegen</v>
          </cell>
          <cell r="I234">
            <v>1022</v>
          </cell>
          <cell r="J234">
            <v>340.66666666666669</v>
          </cell>
        </row>
        <row r="235">
          <cell r="D235" t="str">
            <v>Manitoba Museum of Man and Nature</v>
          </cell>
          <cell r="F235" t="str">
            <v xml:space="preserve"> Canada</v>
          </cell>
          <cell r="G235" t="str">
            <v>Winnipeg</v>
          </cell>
          <cell r="H235">
            <v>340</v>
          </cell>
          <cell r="J235">
            <v>340</v>
          </cell>
        </row>
        <row r="236">
          <cell r="D236" t="str">
            <v>Museo di Zoologia</v>
          </cell>
          <cell r="E236" t="str">
            <v xml:space="preserve"> </v>
          </cell>
          <cell r="F236" t="str">
            <v xml:space="preserve"> Italy</v>
          </cell>
          <cell r="G236" t="str">
            <v>Padua</v>
          </cell>
          <cell r="H236">
            <v>340</v>
          </cell>
          <cell r="J236">
            <v>340</v>
          </cell>
        </row>
        <row r="237">
          <cell r="D237" t="str">
            <v>University of Tennessee at Martin</v>
          </cell>
          <cell r="F237" t="str">
            <v xml:space="preserve"> USA</v>
          </cell>
          <cell r="G237" t="str">
            <v>Martin,  TN</v>
          </cell>
          <cell r="H237">
            <v>340</v>
          </cell>
          <cell r="J237">
            <v>340</v>
          </cell>
        </row>
        <row r="238">
          <cell r="D238" t="str">
            <v>17 Cuban institutions</v>
          </cell>
          <cell r="F238" t="str">
            <v>Cuba</v>
          </cell>
          <cell r="G238" t="str">
            <v>Cuba</v>
          </cell>
          <cell r="H238">
            <v>337</v>
          </cell>
          <cell r="J238">
            <v>337</v>
          </cell>
        </row>
        <row r="239">
          <cell r="D239" t="str">
            <v>Zoologische Sammlung der Universität Göttingen</v>
          </cell>
          <cell r="E239" t="str">
            <v>ZIMG</v>
          </cell>
          <cell r="F239" t="str">
            <v xml:space="preserve"> Germany</v>
          </cell>
          <cell r="G239" t="str">
            <v>Göttingen</v>
          </cell>
          <cell r="I239">
            <v>1000</v>
          </cell>
          <cell r="J239">
            <v>333.33333333333331</v>
          </cell>
        </row>
        <row r="240">
          <cell r="D240" t="str">
            <v>Fries Natuurmuseum</v>
          </cell>
          <cell r="E240" t="str">
            <v>FNM</v>
          </cell>
          <cell r="F240" t="str">
            <v xml:space="preserve"> The Netherlands</v>
          </cell>
          <cell r="G240" t="str">
            <v>Leeuwarden</v>
          </cell>
          <cell r="I240">
            <v>1000</v>
          </cell>
          <cell r="J240">
            <v>333.33333333333331</v>
          </cell>
        </row>
        <row r="241">
          <cell r="D241" t="str">
            <v>Museu Paraense Emilio Goeldi</v>
          </cell>
          <cell r="E241" t="str">
            <v>MPEG</v>
          </cell>
          <cell r="F241" t="str">
            <v xml:space="preserve"> Brazil</v>
          </cell>
          <cell r="G241" t="str">
            <v>Belém</v>
          </cell>
          <cell r="H241">
            <v>330</v>
          </cell>
          <cell r="J241">
            <v>330</v>
          </cell>
        </row>
        <row r="242">
          <cell r="D242" t="str">
            <v>Museum of Zoology, Miami University</v>
          </cell>
          <cell r="F242" t="str">
            <v xml:space="preserve"> USA</v>
          </cell>
          <cell r="G242" t="str">
            <v>Oxford,  OH</v>
          </cell>
          <cell r="H242">
            <v>316</v>
          </cell>
          <cell r="J242">
            <v>316</v>
          </cell>
        </row>
        <row r="243">
          <cell r="D243" t="str">
            <v>Pfalzmuseum für Naturkunde Pollichia</v>
          </cell>
          <cell r="E243" t="str">
            <v>PMN</v>
          </cell>
          <cell r="F243" t="str">
            <v xml:space="preserve"> Germany</v>
          </cell>
          <cell r="G243" t="str">
            <v>Bad Dürkheim</v>
          </cell>
          <cell r="H243">
            <v>300</v>
          </cell>
          <cell r="J243">
            <v>300</v>
          </cell>
        </row>
        <row r="244">
          <cell r="D244" t="str">
            <v>Musée National d’Histoire Naturelle du Luxembourg</v>
          </cell>
          <cell r="E244" t="str">
            <v>MNHNL</v>
          </cell>
          <cell r="F244" t="str">
            <v>Luxembourg</v>
          </cell>
          <cell r="G244" t="str">
            <v>Luxembourg</v>
          </cell>
          <cell r="H244">
            <v>300</v>
          </cell>
          <cell r="J244">
            <v>300</v>
          </cell>
        </row>
        <row r="245">
          <cell r="D245" t="str">
            <v>Southend Central Museum</v>
          </cell>
          <cell r="E245" t="str">
            <v>SOUMS</v>
          </cell>
          <cell r="F245" t="str">
            <v xml:space="preserve"> UK</v>
          </cell>
          <cell r="G245" t="str">
            <v>Southend-on-Sea</v>
          </cell>
          <cell r="H245">
            <v>300</v>
          </cell>
          <cell r="J245">
            <v>300</v>
          </cell>
        </row>
        <row r="246">
          <cell r="D246" t="str">
            <v>Michigan State University Museum</v>
          </cell>
          <cell r="E246" t="str">
            <v>MSUM</v>
          </cell>
          <cell r="F246" t="str">
            <v xml:space="preserve"> USA</v>
          </cell>
          <cell r="G246" t="str">
            <v>East Lansing,  MI</v>
          </cell>
          <cell r="H246">
            <v>300</v>
          </cell>
          <cell r="J246">
            <v>300</v>
          </cell>
        </row>
        <row r="247">
          <cell r="D247" t="str">
            <v>Mississippi State University</v>
          </cell>
          <cell r="F247" t="str">
            <v xml:space="preserve"> USA</v>
          </cell>
          <cell r="G247" t="str">
            <v>Mississippi State,  MS</v>
          </cell>
          <cell r="H247">
            <v>300</v>
          </cell>
          <cell r="J247">
            <v>300</v>
          </cell>
        </row>
        <row r="248">
          <cell r="D248" t="str">
            <v>Worcester Natural History Society</v>
          </cell>
          <cell r="F248" t="str">
            <v xml:space="preserve"> USA</v>
          </cell>
          <cell r="G248" t="str">
            <v>Worcester,  MA</v>
          </cell>
          <cell r="H248">
            <v>300</v>
          </cell>
          <cell r="J248">
            <v>300</v>
          </cell>
        </row>
        <row r="249">
          <cell r="D249" t="str">
            <v>Fort Worth Museum of Science and History</v>
          </cell>
          <cell r="F249" t="str">
            <v xml:space="preserve"> USA</v>
          </cell>
          <cell r="G249" t="str">
            <v>Fort Worth,  TX</v>
          </cell>
          <cell r="H249">
            <v>295</v>
          </cell>
          <cell r="J249">
            <v>295</v>
          </cell>
        </row>
        <row r="250">
          <cell r="D250" t="str">
            <v>Museo Civico de Storia di Carmagnola (MCCI)</v>
          </cell>
          <cell r="E250" t="str">
            <v>MCCI</v>
          </cell>
          <cell r="F250" t="str">
            <v xml:space="preserve"> Italy</v>
          </cell>
          <cell r="G250" t="str">
            <v>Carmagnola</v>
          </cell>
          <cell r="H250">
            <v>292</v>
          </cell>
          <cell r="J250">
            <v>292</v>
          </cell>
        </row>
        <row r="251">
          <cell r="D251" t="str">
            <v>Museo Provincial de Ciencias Naturales "Florentino Ameghino"</v>
          </cell>
          <cell r="F251" t="str">
            <v xml:space="preserve"> Argentina</v>
          </cell>
          <cell r="G251" t="str">
            <v>Santa Fé</v>
          </cell>
          <cell r="H251">
            <v>291</v>
          </cell>
          <cell r="J251">
            <v>291</v>
          </cell>
        </row>
        <row r="252">
          <cell r="D252" t="str">
            <v>California State University</v>
          </cell>
          <cell r="E252" t="str">
            <v>CSU</v>
          </cell>
          <cell r="F252" t="str">
            <v xml:space="preserve"> USA</v>
          </cell>
          <cell r="G252" t="str">
            <v>Los Angeles,  CA</v>
          </cell>
          <cell r="H252">
            <v>290</v>
          </cell>
          <cell r="J252">
            <v>290</v>
          </cell>
        </row>
        <row r="253">
          <cell r="D253" t="str">
            <v>Stephen F. Austin State University</v>
          </cell>
          <cell r="F253" t="str">
            <v xml:space="preserve"> USA</v>
          </cell>
          <cell r="G253" t="str">
            <v>Nacogdoches,  TX</v>
          </cell>
          <cell r="H253">
            <v>280</v>
          </cell>
          <cell r="J253">
            <v>280</v>
          </cell>
        </row>
        <row r="254">
          <cell r="D254" t="str">
            <v>Walla Walla College</v>
          </cell>
          <cell r="F254" t="str">
            <v xml:space="preserve"> USA</v>
          </cell>
          <cell r="G254" t="str">
            <v>College Place,  WA</v>
          </cell>
          <cell r="H254">
            <v>277</v>
          </cell>
          <cell r="J254">
            <v>277</v>
          </cell>
        </row>
        <row r="255">
          <cell r="D255" t="str">
            <v>Muséum d’Histoire Naturelle de Grenoble</v>
          </cell>
          <cell r="E255" t="str">
            <v>MHNGr</v>
          </cell>
          <cell r="F255" t="str">
            <v xml:space="preserve"> France</v>
          </cell>
          <cell r="G255" t="str">
            <v>Grenoble</v>
          </cell>
          <cell r="I255">
            <v>830</v>
          </cell>
          <cell r="J255">
            <v>276.66666666666669</v>
          </cell>
        </row>
        <row r="256">
          <cell r="D256" t="str">
            <v>Vlastivedne Muzeum v Olomouci</v>
          </cell>
          <cell r="E256" t="str">
            <v xml:space="preserve"> </v>
          </cell>
          <cell r="F256" t="str">
            <v xml:space="preserve"> Czech Republic</v>
          </cell>
          <cell r="G256" t="str">
            <v>Olomouc</v>
          </cell>
          <cell r="H256">
            <v>273</v>
          </cell>
          <cell r="J256">
            <v>273</v>
          </cell>
        </row>
        <row r="257">
          <cell r="D257" t="str">
            <v>Canterbury Museum</v>
          </cell>
          <cell r="E257" t="str">
            <v>CM</v>
          </cell>
          <cell r="F257" t="str">
            <v xml:space="preserve"> New Zealand</v>
          </cell>
          <cell r="G257" t="str">
            <v>Christchurch</v>
          </cell>
          <cell r="I257">
            <v>800</v>
          </cell>
          <cell r="J257">
            <v>266.66666666666669</v>
          </cell>
        </row>
        <row r="258">
          <cell r="D258" t="str">
            <v>National Museum of Natural History</v>
          </cell>
          <cell r="E258" t="str">
            <v>NMNHS/NZMS</v>
          </cell>
          <cell r="F258" t="str">
            <v xml:space="preserve"> Bulgaria</v>
          </cell>
          <cell r="G258" t="str">
            <v>Sofia</v>
          </cell>
          <cell r="H258">
            <v>260</v>
          </cell>
          <cell r="J258">
            <v>260</v>
          </cell>
        </row>
        <row r="259">
          <cell r="D259" t="str">
            <v>Cincinnati Museum of Natural History</v>
          </cell>
          <cell r="F259" t="str">
            <v xml:space="preserve"> USA</v>
          </cell>
          <cell r="G259" t="str">
            <v>Cincinnati,  OH</v>
          </cell>
          <cell r="H259">
            <v>250</v>
          </cell>
          <cell r="J259">
            <v>250</v>
          </cell>
        </row>
        <row r="260">
          <cell r="D260" t="str">
            <v>Colorado State University</v>
          </cell>
          <cell r="F260" t="str">
            <v xml:space="preserve"> USA</v>
          </cell>
          <cell r="G260" t="str">
            <v>Fort Collins,  CO</v>
          </cell>
          <cell r="H260">
            <v>230</v>
          </cell>
          <cell r="J260">
            <v>230</v>
          </cell>
        </row>
        <row r="261">
          <cell r="D261" t="str">
            <v>Museo di Storia Naturale di Terrasini</v>
          </cell>
          <cell r="E261" t="str">
            <v xml:space="preserve"> </v>
          </cell>
          <cell r="F261" t="str">
            <v xml:space="preserve"> Italy</v>
          </cell>
          <cell r="G261" t="str">
            <v>Terrasini</v>
          </cell>
          <cell r="H261">
            <v>222</v>
          </cell>
          <cell r="J261">
            <v>222</v>
          </cell>
        </row>
        <row r="262">
          <cell r="D262" t="str">
            <v>Museo de Zoología Universidad de Costa Rica</v>
          </cell>
          <cell r="E262" t="str">
            <v>MZUCR</v>
          </cell>
          <cell r="F262" t="str">
            <v xml:space="preserve"> Costa Rica</v>
          </cell>
          <cell r="G262" t="str">
            <v>San Jose</v>
          </cell>
          <cell r="H262">
            <v>205</v>
          </cell>
          <cell r="J262">
            <v>205</v>
          </cell>
        </row>
        <row r="263">
          <cell r="D263" t="str">
            <v>Naturkundliches Museum Mauritianum</v>
          </cell>
          <cell r="E263" t="str">
            <v>MMA</v>
          </cell>
          <cell r="F263" t="str">
            <v xml:space="preserve"> Germany</v>
          </cell>
          <cell r="G263" t="str">
            <v>Altenburg</v>
          </cell>
          <cell r="H263">
            <v>200</v>
          </cell>
          <cell r="J263">
            <v>200</v>
          </cell>
        </row>
        <row r="264">
          <cell r="D264" t="str">
            <v>Swansea Museum</v>
          </cell>
          <cell r="E264" t="str">
            <v xml:space="preserve"> </v>
          </cell>
          <cell r="F264" t="str">
            <v xml:space="preserve"> UK</v>
          </cell>
          <cell r="G264" t="str">
            <v>Swansea</v>
          </cell>
          <cell r="H264">
            <v>200</v>
          </cell>
          <cell r="J264">
            <v>200</v>
          </cell>
        </row>
        <row r="265">
          <cell r="D265" t="str">
            <v>Alabama Museum of Natural History</v>
          </cell>
          <cell r="F265" t="str">
            <v xml:space="preserve"> USA</v>
          </cell>
          <cell r="G265" t="str">
            <v>Tuscaloosa,  AL</v>
          </cell>
          <cell r="H265">
            <v>200</v>
          </cell>
          <cell r="J265">
            <v>200</v>
          </cell>
        </row>
        <row r="266">
          <cell r="D266" t="str">
            <v>Wagner Free Institute of Science</v>
          </cell>
          <cell r="F266" t="str">
            <v xml:space="preserve"> USA</v>
          </cell>
          <cell r="G266" t="str">
            <v>Philadelphia,  PA</v>
          </cell>
          <cell r="H266">
            <v>200</v>
          </cell>
          <cell r="J266">
            <v>200</v>
          </cell>
        </row>
        <row r="267">
          <cell r="D267" t="str">
            <v>Minot State College</v>
          </cell>
          <cell r="F267" t="str">
            <v xml:space="preserve"> USA</v>
          </cell>
          <cell r="G267" t="str">
            <v>Minot,  ND</v>
          </cell>
          <cell r="H267">
            <v>196</v>
          </cell>
          <cell r="J267">
            <v>196</v>
          </cell>
        </row>
        <row r="268">
          <cell r="D268" t="str">
            <v>South Dakota State University</v>
          </cell>
          <cell r="F268" t="str">
            <v xml:space="preserve"> USA</v>
          </cell>
          <cell r="G268" t="str">
            <v>Brookings,  SD</v>
          </cell>
          <cell r="H268">
            <v>189</v>
          </cell>
          <cell r="J268">
            <v>189</v>
          </cell>
        </row>
        <row r="269">
          <cell r="D269" t="str">
            <v>Naturkunde-Museum Bamberg</v>
          </cell>
          <cell r="E269" t="str">
            <v>NKMBA</v>
          </cell>
          <cell r="F269" t="str">
            <v xml:space="preserve"> Germany</v>
          </cell>
          <cell r="G269" t="str">
            <v>Bamberg</v>
          </cell>
          <cell r="I269">
            <v>552</v>
          </cell>
          <cell r="J269">
            <v>184</v>
          </cell>
        </row>
        <row r="270">
          <cell r="D270" t="str">
            <v>museum at Jelenia Góra</v>
          </cell>
          <cell r="F270" t="str">
            <v xml:space="preserve"> Poland</v>
          </cell>
          <cell r="G270" t="str">
            <v>Jelenia Góra</v>
          </cell>
          <cell r="I270">
            <v>541</v>
          </cell>
          <cell r="J270">
            <v>180.33333333333334</v>
          </cell>
        </row>
        <row r="271">
          <cell r="D271" t="str">
            <v>Yamashina Institute of Ornithology</v>
          </cell>
          <cell r="E271" t="str">
            <v xml:space="preserve"> </v>
          </cell>
          <cell r="F271" t="str">
            <v xml:space="preserve"> Japan</v>
          </cell>
          <cell r="G271" t="str">
            <v>Chiba</v>
          </cell>
          <cell r="H271">
            <v>175</v>
          </cell>
          <cell r="I271" t="str">
            <v xml:space="preserve"> </v>
          </cell>
          <cell r="J271">
            <v>175</v>
          </cell>
        </row>
        <row r="272">
          <cell r="D272" t="str">
            <v>Zoological Museum</v>
          </cell>
          <cell r="E272" t="str">
            <v>ZMUA</v>
          </cell>
          <cell r="F272" t="str">
            <v xml:space="preserve"> Greece</v>
          </cell>
          <cell r="G272" t="str">
            <v>Athens</v>
          </cell>
          <cell r="I272">
            <v>500</v>
          </cell>
          <cell r="J272">
            <v>166.66666666666666</v>
          </cell>
        </row>
        <row r="273">
          <cell r="D273" t="str">
            <v>Museo Nacional de Ciencias Naturales</v>
          </cell>
          <cell r="E273" t="str">
            <v>MNCN</v>
          </cell>
          <cell r="F273" t="str">
            <v xml:space="preserve"> Spain</v>
          </cell>
          <cell r="G273" t="str">
            <v>Madrid</v>
          </cell>
          <cell r="H273">
            <v>161</v>
          </cell>
          <cell r="J273">
            <v>161</v>
          </cell>
        </row>
        <row r="274">
          <cell r="D274" t="str">
            <v>Museo dell’Istituto Nazionale per la Fauna Selvatica</v>
          </cell>
          <cell r="E274" t="str">
            <v>INFS</v>
          </cell>
          <cell r="F274" t="str">
            <v xml:space="preserve"> Italy</v>
          </cell>
          <cell r="G274" t="str">
            <v>Bologna</v>
          </cell>
          <cell r="H274">
            <v>150</v>
          </cell>
          <cell r="J274">
            <v>150</v>
          </cell>
        </row>
        <row r="275">
          <cell r="D275" t="str">
            <v>Colección Nacional de Aves (UNAM)</v>
          </cell>
          <cell r="E275" t="str">
            <v>CNAV</v>
          </cell>
          <cell r="F275" t="str">
            <v xml:space="preserve"> Mexico</v>
          </cell>
          <cell r="G275" t="str">
            <v>Cidade do Mexico</v>
          </cell>
          <cell r="H275">
            <v>150</v>
          </cell>
          <cell r="J275">
            <v>150</v>
          </cell>
        </row>
        <row r="276">
          <cell r="D276" t="str">
            <v>National Museum of Republic of Tatarstan</v>
          </cell>
          <cell r="F276" t="str">
            <v xml:space="preserve"> Russia</v>
          </cell>
          <cell r="G276" t="str">
            <v>Kazan</v>
          </cell>
          <cell r="I276">
            <v>437</v>
          </cell>
          <cell r="J276">
            <v>145.66666666666666</v>
          </cell>
        </row>
        <row r="277">
          <cell r="D277" t="str">
            <v>Museum of Natural History and Archaeology</v>
          </cell>
          <cell r="E277" t="str">
            <v xml:space="preserve"> </v>
          </cell>
          <cell r="F277" t="str">
            <v xml:space="preserve"> Norway</v>
          </cell>
          <cell r="G277" t="str">
            <v>Trondheim</v>
          </cell>
          <cell r="I277">
            <v>400</v>
          </cell>
          <cell r="J277">
            <v>133.33333333333334</v>
          </cell>
        </row>
        <row r="278">
          <cell r="D278" t="str">
            <v>Museu de Ciências, Pontifícia Universidade Católica do Rio Grande do Sul</v>
          </cell>
          <cell r="E278" t="str">
            <v>MCP</v>
          </cell>
          <cell r="F278" t="str">
            <v xml:space="preserve"> Brazil</v>
          </cell>
          <cell r="G278" t="str">
            <v>Porto Alegre</v>
          </cell>
          <cell r="H278">
            <v>113</v>
          </cell>
          <cell r="J278">
            <v>113</v>
          </cell>
        </row>
        <row r="279">
          <cell r="D279" t="str">
            <v>museum at Bialywieza</v>
          </cell>
          <cell r="F279" t="str">
            <v xml:space="preserve"> Poland</v>
          </cell>
          <cell r="G279" t="str">
            <v>Bialywieza</v>
          </cell>
          <cell r="I279">
            <v>335</v>
          </cell>
          <cell r="J279">
            <v>111.66666666666667</v>
          </cell>
        </row>
        <row r="280">
          <cell r="D280" t="str">
            <v>Museo Ornitologico di Scienze Naturali del Comune di Ravenna</v>
          </cell>
          <cell r="E280" t="str">
            <v xml:space="preserve"> </v>
          </cell>
          <cell r="F280" t="str">
            <v xml:space="preserve"> Italy</v>
          </cell>
          <cell r="G280" t="str">
            <v>Ravenna</v>
          </cell>
          <cell r="I280">
            <v>330</v>
          </cell>
          <cell r="J280">
            <v>110</v>
          </cell>
        </row>
        <row r="281">
          <cell r="D281" t="str">
            <v>Museu do Ceará + Aquasis</v>
          </cell>
          <cell r="E281" t="str">
            <v>MC</v>
          </cell>
          <cell r="F281" t="str">
            <v xml:space="preserve"> Brazil</v>
          </cell>
          <cell r="G281" t="str">
            <v>Fortaleza</v>
          </cell>
          <cell r="H281">
            <v>107</v>
          </cell>
          <cell r="J281">
            <v>107</v>
          </cell>
        </row>
        <row r="282">
          <cell r="D282" t="str">
            <v>Fundação Zoobotânica do Rio Grande do Sul</v>
          </cell>
          <cell r="E282" t="str">
            <v>MCNC</v>
          </cell>
          <cell r="F282" t="str">
            <v xml:space="preserve"> Brazil</v>
          </cell>
          <cell r="G282" t="str">
            <v>Porto Alegre</v>
          </cell>
          <cell r="H282">
            <v>100</v>
          </cell>
          <cell r="I282">
            <v>100</v>
          </cell>
          <cell r="J282">
            <v>100</v>
          </cell>
        </row>
        <row r="283">
          <cell r="D283" t="str">
            <v>Instituto de Ciencias Naturales, Universidad Nacional de Colombia</v>
          </cell>
          <cell r="E283" t="str">
            <v>ICN-MHN</v>
          </cell>
          <cell r="F283" t="str">
            <v xml:space="preserve"> Colombia</v>
          </cell>
          <cell r="G283" t="str">
            <v>Bogota</v>
          </cell>
          <cell r="H283">
            <v>100</v>
          </cell>
          <cell r="J283">
            <v>100</v>
          </cell>
        </row>
        <row r="284">
          <cell r="D284" t="str">
            <v>Museo Civico di Storia Naturale ‘Giacomo Doria'</v>
          </cell>
          <cell r="E284" t="str">
            <v>MSNG</v>
          </cell>
          <cell r="F284" t="str">
            <v xml:space="preserve"> Italy</v>
          </cell>
          <cell r="G284" t="str">
            <v>Genova</v>
          </cell>
          <cell r="H284">
            <v>100</v>
          </cell>
          <cell r="J284">
            <v>100</v>
          </cell>
        </row>
        <row r="285">
          <cell r="D285" t="str">
            <v>Oological bank of cuckoos</v>
          </cell>
          <cell r="F285" t="str">
            <v>Russia</v>
          </cell>
          <cell r="G285" t="str">
            <v>Russia</v>
          </cell>
          <cell r="I285">
            <v>294</v>
          </cell>
          <cell r="J285">
            <v>98</v>
          </cell>
        </row>
        <row r="286">
          <cell r="D286" t="str">
            <v>Institut für Vogelforschung ‘Vogelwarte Helgoland’</v>
          </cell>
          <cell r="E286" t="str">
            <v>IfV</v>
          </cell>
          <cell r="F286" t="str">
            <v xml:space="preserve"> Germany</v>
          </cell>
          <cell r="G286" t="str">
            <v>Wilhelmshaven</v>
          </cell>
          <cell r="I286">
            <v>270</v>
          </cell>
          <cell r="J286">
            <v>90</v>
          </cell>
        </row>
        <row r="287">
          <cell r="D287" t="str">
            <v>Museo de Ciencias Naturales y Antropológicas "Prof. Antonio Serrano"</v>
          </cell>
          <cell r="E287" t="str">
            <v>MCNA</v>
          </cell>
          <cell r="F287" t="str">
            <v xml:space="preserve"> Argentina</v>
          </cell>
          <cell r="G287" t="str">
            <v>Entre Ríos</v>
          </cell>
          <cell r="H287" t="str">
            <v xml:space="preserve"> </v>
          </cell>
          <cell r="I287">
            <v>220</v>
          </cell>
          <cell r="J287">
            <v>73.333333333333329</v>
          </cell>
        </row>
        <row r="288">
          <cell r="D288" t="str">
            <v>Museo de la Estación Biológica de Rancho Grande</v>
          </cell>
          <cell r="F288" t="str">
            <v>Venezuela</v>
          </cell>
          <cell r="G288" t="str">
            <v>Maracay</v>
          </cell>
          <cell r="I288">
            <v>180</v>
          </cell>
          <cell r="J288">
            <v>60</v>
          </cell>
        </row>
        <row r="289">
          <cell r="D289" t="str">
            <v>Muzeum Vychodních Czech</v>
          </cell>
          <cell r="F289" t="str">
            <v xml:space="preserve"> Czech Republic</v>
          </cell>
          <cell r="G289" t="str">
            <v>Hradec Králové</v>
          </cell>
          <cell r="H289">
            <v>50</v>
          </cell>
          <cell r="J289">
            <v>50</v>
          </cell>
        </row>
        <row r="290">
          <cell r="D290" t="str">
            <v>Musée municipal de Semur-en-Auxois</v>
          </cell>
          <cell r="F290" t="str">
            <v xml:space="preserve"> France</v>
          </cell>
          <cell r="G290" t="str">
            <v>Semur-en-Auxois</v>
          </cell>
          <cell r="H290">
            <v>50</v>
          </cell>
          <cell r="J290">
            <v>50</v>
          </cell>
        </row>
        <row r="291">
          <cell r="D291" t="str">
            <v>Zentrum für Biodokumentation des Saarlandes</v>
          </cell>
          <cell r="F291" t="str">
            <v xml:space="preserve"> Germany</v>
          </cell>
          <cell r="G291" t="str">
            <v>Schiffsweiler</v>
          </cell>
          <cell r="I291">
            <v>149</v>
          </cell>
          <cell r="J291">
            <v>49.666666666666664</v>
          </cell>
        </row>
        <row r="292">
          <cell r="D292" t="str">
            <v>Krasnoyarsk Regional Museum</v>
          </cell>
          <cell r="F292" t="str">
            <v xml:space="preserve"> Russia</v>
          </cell>
          <cell r="G292" t="str">
            <v>Krasnoyarsk</v>
          </cell>
          <cell r="I292">
            <v>140</v>
          </cell>
          <cell r="J292">
            <v>46.666666666666664</v>
          </cell>
        </row>
        <row r="293">
          <cell r="D293" t="str">
            <v>Museo Nacional de Historia Natural</v>
          </cell>
          <cell r="E293" t="str">
            <v>MNHN</v>
          </cell>
          <cell r="F293" t="str">
            <v xml:space="preserve"> Uruguay</v>
          </cell>
          <cell r="G293" t="str">
            <v>Montevideo</v>
          </cell>
          <cell r="H293">
            <v>39</v>
          </cell>
          <cell r="J293">
            <v>39</v>
          </cell>
        </row>
        <row r="294">
          <cell r="D294" t="str">
            <v>Colección Ornitológica Phelps</v>
          </cell>
          <cell r="E294" t="str">
            <v>COP</v>
          </cell>
          <cell r="F294" t="str">
            <v>Venezuela</v>
          </cell>
          <cell r="G294" t="str">
            <v>Caracas</v>
          </cell>
          <cell r="I294">
            <v>115</v>
          </cell>
          <cell r="J294">
            <v>38.333333333333336</v>
          </cell>
        </row>
        <row r="295">
          <cell r="D295" t="str">
            <v>Museo de Historia Natural, Universidad La Salle</v>
          </cell>
          <cell r="F295" t="str">
            <v>Venezuela</v>
          </cell>
          <cell r="G295" t="str">
            <v>Caracas</v>
          </cell>
          <cell r="H295">
            <v>36</v>
          </cell>
          <cell r="J295">
            <v>36</v>
          </cell>
        </row>
        <row r="296">
          <cell r="D296" t="str">
            <v>Coleccion Bolivian de Fauna, Instituto de Ecología</v>
          </cell>
          <cell r="E296" t="str">
            <v>CBF</v>
          </cell>
          <cell r="F296" t="str">
            <v>Bolivia</v>
          </cell>
          <cell r="G296" t="str">
            <v>Bolivia</v>
          </cell>
          <cell r="H296">
            <v>34</v>
          </cell>
          <cell r="J296">
            <v>34</v>
          </cell>
        </row>
        <row r="297">
          <cell r="D297" t="str">
            <v>Zoological museum of Tyumen State University</v>
          </cell>
          <cell r="F297" t="str">
            <v xml:space="preserve"> Russia</v>
          </cell>
          <cell r="G297" t="str">
            <v>Tyumen</v>
          </cell>
          <cell r="I297">
            <v>100</v>
          </cell>
          <cell r="J297">
            <v>33.333333333333336</v>
          </cell>
        </row>
        <row r="298">
          <cell r="D298" t="str">
            <v>Colección Ornitológica del Centro de Investigaciones Biológicas (COCIB-UAEM), Facultad de Biologia, Universidad Autónoma del Estado de Morelos</v>
          </cell>
          <cell r="F298" t="str">
            <v>Mexico</v>
          </cell>
          <cell r="G298" t="str">
            <v>Mexico</v>
          </cell>
          <cell r="I298">
            <v>86</v>
          </cell>
          <cell r="J298">
            <v>28.666666666666668</v>
          </cell>
        </row>
        <row r="299">
          <cell r="D299" t="str">
            <v>Museum and Art Gallery of the Northern Territory</v>
          </cell>
          <cell r="E299" t="str">
            <v>NTM</v>
          </cell>
          <cell r="F299" t="str">
            <v xml:space="preserve"> Australia</v>
          </cell>
          <cell r="G299" t="str">
            <v>Darwin</v>
          </cell>
          <cell r="I299">
            <v>60</v>
          </cell>
          <cell r="J299">
            <v>20</v>
          </cell>
        </row>
        <row r="300">
          <cell r="D300" t="str">
            <v>Coleción de Ornitologia, Museo de Historia Natural de El Salvador</v>
          </cell>
          <cell r="F300" t="str">
            <v xml:space="preserve"> El Salvador</v>
          </cell>
          <cell r="G300" t="str">
            <v>San Salvador</v>
          </cell>
          <cell r="I300">
            <v>27</v>
          </cell>
          <cell r="J300">
            <v>9</v>
          </cell>
        </row>
        <row r="301">
          <cell r="D301" t="str">
            <v>Museo de de Zoología “Alfonso L. Herrera”, Facultad de Ciencias, UNAM</v>
          </cell>
          <cell r="F301" t="str">
            <v>Mexico</v>
          </cell>
          <cell r="G301" t="str">
            <v>Mexico</v>
          </cell>
          <cell r="I301">
            <v>27</v>
          </cell>
          <cell r="J301">
            <v>9</v>
          </cell>
        </row>
        <row r="302">
          <cell r="D302" t="str">
            <v>Jurica-Suchy Nature Museum at Benedictine University</v>
          </cell>
          <cell r="E302" t="str">
            <v>JSNM</v>
          </cell>
          <cell r="F302" t="str">
            <v>USA</v>
          </cell>
          <cell r="G302" t="str">
            <v>Chicago,  IL</v>
          </cell>
          <cell r="J302">
            <v>803</v>
          </cell>
        </row>
        <row r="303">
          <cell r="D303" t="str">
            <v>Denver Museum of Nature and Science</v>
          </cell>
          <cell r="E303" t="str">
            <v>DMNS</v>
          </cell>
          <cell r="F303" t="str">
            <v>USA</v>
          </cell>
          <cell r="G303" t="str">
            <v>Denver, CO</v>
          </cell>
          <cell r="J303">
            <v>7148</v>
          </cell>
        </row>
        <row r="304">
          <cell r="D304" t="str">
            <v>The George B. Dorr Museum of Natural History, College of the Atlantic</v>
          </cell>
          <cell r="E304" t="str">
            <v>COA</v>
          </cell>
          <cell r="F304" t="str">
            <v>USA</v>
          </cell>
          <cell r="G304" t="str">
            <v>Bar Harbor, ME</v>
          </cell>
          <cell r="J304">
            <v>0</v>
          </cell>
        </row>
        <row r="305">
          <cell r="D305" t="str">
            <v>Sam Noble Oklahoma Museum of Natural History</v>
          </cell>
          <cell r="E305" t="str">
            <v>OMNH</v>
          </cell>
          <cell r="F305" t="str">
            <v>USA</v>
          </cell>
          <cell r="G305" t="str">
            <v>Norman, OK</v>
          </cell>
          <cell r="J305">
            <v>0</v>
          </cell>
        </row>
        <row r="306">
          <cell r="D306" t="str">
            <v>University of Wyoming Museum of Vertebrates</v>
          </cell>
          <cell r="E306" t="str">
            <v>UWYMV</v>
          </cell>
          <cell r="F306" t="str">
            <v>USA</v>
          </cell>
          <cell r="G306" t="str">
            <v>Laramie, WY</v>
          </cell>
          <cell r="J30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useum.toulouse.fr/" TargetMode="External"/><Relationship Id="rId21" Type="http://schemas.openxmlformats.org/officeDocument/2006/relationships/hyperlink" Target="https://www.amnh.org/" TargetMode="External"/><Relationship Id="rId63" Type="http://schemas.openxmlformats.org/officeDocument/2006/relationships/hyperlink" Target="https://www.senckenberg.de/" TargetMode="External"/><Relationship Id="rId159" Type="http://schemas.openxmlformats.org/officeDocument/2006/relationships/hyperlink" Target="https://www.arizona.edu/" TargetMode="External"/><Relationship Id="rId170" Type="http://schemas.openxmlformats.org/officeDocument/2006/relationships/hyperlink" Target="https://biodiversity.uconn.edu/" TargetMode="External"/><Relationship Id="rId226" Type="http://schemas.openxmlformats.org/officeDocument/2006/relationships/hyperlink" Target="https://www.putnam.org/" TargetMode="External"/><Relationship Id="rId268" Type="http://schemas.openxmlformats.org/officeDocument/2006/relationships/hyperlink" Target="https://www.tatmuseum.ru/" TargetMode="External"/><Relationship Id="rId32" Type="http://schemas.openxmlformats.org/officeDocument/2006/relationships/hyperlink" Target="https://www.rom.on.ca/" TargetMode="External"/><Relationship Id="rId74" Type="http://schemas.openxmlformats.org/officeDocument/2006/relationships/hyperlink" Target="https://www.illinoisstatemuseum.org/" TargetMode="External"/><Relationship Id="rId128" Type="http://schemas.openxmlformats.org/officeDocument/2006/relationships/hyperlink" Target="https://www.tau.ac.il/" TargetMode="External"/><Relationship Id="rId5" Type="http://schemas.openxmlformats.org/officeDocument/2006/relationships/hyperlink" Target="https://www.museumfuernaturkunde.berlin/" TargetMode="External"/><Relationship Id="rId181" Type="http://schemas.openxmlformats.org/officeDocument/2006/relationships/hyperlink" Target="https://www.phyletisches-museum.uni-jena.de/" TargetMode="External"/><Relationship Id="rId237" Type="http://schemas.openxmlformats.org/officeDocument/2006/relationships/hyperlink" Target="https://www.southendmuseums.co.uk/" TargetMode="External"/><Relationship Id="rId279" Type="http://schemas.openxmlformats.org/officeDocument/2006/relationships/hyperlink" Target="https://www.muzeumhk.cz/" TargetMode="External"/><Relationship Id="rId43" Type="http://schemas.openxmlformats.org/officeDocument/2006/relationships/hyperlink" Target="https://www.ditsong.org.za/" TargetMode="External"/><Relationship Id="rId139" Type="http://schemas.openxmlformats.org/officeDocument/2006/relationships/hyperlink" Target="https://www.vsmuzeum.sk/" TargetMode="External"/><Relationship Id="rId290" Type="http://schemas.openxmlformats.org/officeDocument/2006/relationships/hyperlink" Target="https://www.dmns.org/" TargetMode="External"/><Relationship Id="rId85" Type="http://schemas.openxmlformats.org/officeDocument/2006/relationships/hyperlink" Target="https://www.welderwildlife.org/" TargetMode="External"/><Relationship Id="rId150" Type="http://schemas.openxmlformats.org/officeDocument/2006/relationships/hyperlink" Target="https://www.museunacional.ufrj.br/" TargetMode="External"/><Relationship Id="rId192" Type="http://schemas.openxmlformats.org/officeDocument/2006/relationships/hyperlink" Target="https://www.brukenthalmuseum.ro/" TargetMode="External"/><Relationship Id="rId206" Type="http://schemas.openxmlformats.org/officeDocument/2006/relationships/hyperlink" Target="http://zoomus.lviv.ua/" TargetMode="External"/><Relationship Id="rId248" Type="http://schemas.openxmlformats.org/officeDocument/2006/relationships/hyperlink" Target="https://www.vmo.cz/" TargetMode="External"/><Relationship Id="rId12" Type="http://schemas.openxmlformats.org/officeDocument/2006/relationships/hyperlink" Target="https://www.sbcounty.gov/museum" TargetMode="External"/><Relationship Id="rId33" Type="http://schemas.openxmlformats.org/officeDocument/2006/relationships/hyperlink" Target="https://www.floridamuseum.ufl.edu/" TargetMode="External"/><Relationship Id="rId108" Type="http://schemas.openxmlformats.org/officeDocument/2006/relationships/hyperlink" Target="https://www.vt.edu/" TargetMode="External"/><Relationship Id="rId129" Type="http://schemas.openxmlformats.org/officeDocument/2006/relationships/hyperlink" Target="https://www.bellmuseum.umn.edu/" TargetMode="External"/><Relationship Id="rId280" Type="http://schemas.openxmlformats.org/officeDocument/2006/relationships/hyperlink" Target="https://www.musee-semur-en-auxois.com/" TargetMode="External"/><Relationship Id="rId54" Type="http://schemas.openxmlformats.org/officeDocument/2006/relationships/hyperlink" Target="https://www.samuseum.sa.gov.au/" TargetMode="External"/><Relationship Id="rId75" Type="http://schemas.openxmlformats.org/officeDocument/2006/relationships/hyperlink" Target="https://newark.osu.edu/" TargetMode="External"/><Relationship Id="rId96" Type="http://schemas.openxmlformats.org/officeDocument/2006/relationships/hyperlink" Target="https://www.naturundmensch.de/" TargetMode="External"/><Relationship Id="rId140" Type="http://schemas.openxmlformats.org/officeDocument/2006/relationships/hyperlink" Target="https://naturalhistory.si.edu/" TargetMode="External"/><Relationship Id="rId161" Type="http://schemas.openxmlformats.org/officeDocument/2006/relationships/hyperlink" Target="https://www.mos.org/" TargetMode="External"/><Relationship Id="rId182" Type="http://schemas.openxmlformats.org/officeDocument/2006/relationships/hyperlink" Target="https://www.yorkshiremuseum.org.uk/" TargetMode="External"/><Relationship Id="rId217" Type="http://schemas.openxmlformats.org/officeDocument/2006/relationships/hyperlink" Target="https://www.mdwfp.com/museum" TargetMode="External"/><Relationship Id="rId6" Type="http://schemas.openxmlformats.org/officeDocument/2006/relationships/hyperlink" Target="https://www.nms.ac.uk/" TargetMode="External"/><Relationship Id="rId238" Type="http://schemas.openxmlformats.org/officeDocument/2006/relationships/hyperlink" Target="https://museum.msu.edu/" TargetMode="External"/><Relationship Id="rId259" Type="http://schemas.openxmlformats.org/officeDocument/2006/relationships/hyperlink" Target="https://www.minotstateu.edu/" TargetMode="External"/><Relationship Id="rId23" Type="http://schemas.openxmlformats.org/officeDocument/2006/relationships/hyperlink" Target="https://www.royalalbertamuseum.ca/" TargetMode="External"/><Relationship Id="rId119" Type="http://schemas.openxmlformats.org/officeDocument/2006/relationships/hyperlink" Target="https://beatymuseum.ubc.ca/research-2/collections/cowan-tetrapod-collection/" TargetMode="External"/><Relationship Id="rId270" Type="http://schemas.openxmlformats.org/officeDocument/2006/relationships/hyperlink" Target="https://www.pucrs.br/mct/" TargetMode="External"/><Relationship Id="rId291" Type="http://schemas.openxmlformats.org/officeDocument/2006/relationships/hyperlink" Target="https://samnoblemuseum.ou.edu/" TargetMode="External"/><Relationship Id="rId44" Type="http://schemas.openxmlformats.org/officeDocument/2006/relationships/hyperlink" Target="https://www.nmbe.ch/" TargetMode="External"/><Relationship Id="rId65" Type="http://schemas.openxmlformats.org/officeDocument/2006/relationships/hyperlink" Target="https://www.mnhn.fr/" TargetMode="External"/><Relationship Id="rId86" Type="http://schemas.openxmlformats.org/officeDocument/2006/relationships/hyperlink" Target="https://www.uebersee-museum.de/" TargetMode="External"/><Relationship Id="rId130" Type="http://schemas.openxmlformats.org/officeDocument/2006/relationships/hyperlink" Target="https://www.zemaljskimuzej.ba/" TargetMode="External"/><Relationship Id="rId151" Type="http://schemas.openxmlformats.org/officeDocument/2006/relationships/hyperlink" Target="https://www.darwinmuseum.ru/" TargetMode="External"/><Relationship Id="rId172" Type="http://schemas.openxmlformats.org/officeDocument/2006/relationships/hyperlink" Target="https://www.usask.ca/" TargetMode="External"/><Relationship Id="rId193" Type="http://schemas.openxmlformats.org/officeDocument/2006/relationships/hyperlink" Target="https://www.fr.ch/mhn" TargetMode="External"/><Relationship Id="rId207" Type="http://schemas.openxmlformats.org/officeDocument/2006/relationships/hyperlink" Target="https://research.utep.edu/biodiversity" TargetMode="External"/><Relationship Id="rId228" Type="http://schemas.openxmlformats.org/officeDocument/2006/relationships/hyperlink" Target="https://www.manitobamuseum.ca/" TargetMode="External"/><Relationship Id="rId249" Type="http://schemas.openxmlformats.org/officeDocument/2006/relationships/hyperlink" Target="https://www.canterburymuseum.com/" TargetMode="External"/><Relationship Id="rId13" Type="http://schemas.openxmlformats.org/officeDocument/2006/relationships/hyperlink" Target="https://www.nhmus.hu/en/" TargetMode="External"/><Relationship Id="rId109" Type="http://schemas.openxmlformats.org/officeDocument/2006/relationships/hyperlink" Target="https://www.cmnh.org/" TargetMode="External"/><Relationship Id="rId260" Type="http://schemas.openxmlformats.org/officeDocument/2006/relationships/hyperlink" Target="https://www.sdstate.edu/" TargetMode="External"/><Relationship Id="rId281" Type="http://schemas.openxmlformats.org/officeDocument/2006/relationships/hyperlink" Target="https://www.saarland.de/mukmav/DE/portale/naturschutz/informationen/artenschutz/zentrum-fuer-biodokumentation" TargetMode="External"/><Relationship Id="rId34" Type="http://schemas.openxmlformats.org/officeDocument/2006/relationships/hyperlink" Target="https://www.naturkundemuseum-bw.de/" TargetMode="External"/><Relationship Id="rId55" Type="http://schemas.openxmlformats.org/officeDocument/2006/relationships/hyperlink" Target="https://museumsvictoria.com.au/" TargetMode="External"/><Relationship Id="rId76" Type="http://schemas.openxmlformats.org/officeDocument/2006/relationships/hyperlink" Target="https://www.dmns.org/" TargetMode="External"/><Relationship Id="rId97" Type="http://schemas.openxmlformats.org/officeDocument/2006/relationships/hyperlink" Target="https://www.natt.is/en" TargetMode="External"/><Relationship Id="rId120" Type="http://schemas.openxmlformats.org/officeDocument/2006/relationships/hyperlink" Target="https://uit.no/museum" TargetMode="External"/><Relationship Id="rId141" Type="http://schemas.openxmlformats.org/officeDocument/2006/relationships/hyperlink" Target="https://www.naturemuseum.org/" TargetMode="External"/><Relationship Id="rId7" Type="http://schemas.openxmlformats.org/officeDocument/2006/relationships/hyperlink" Target="https://www.naturalis.nl/" TargetMode="External"/><Relationship Id="rId162" Type="http://schemas.openxmlformats.org/officeDocument/2006/relationships/hyperlink" Target="https://zoomuziejus.lt/" TargetMode="External"/><Relationship Id="rId183" Type="http://schemas.openxmlformats.org/officeDocument/2006/relationships/hyperlink" Target="https://www.sciencebuff.org/" TargetMode="External"/><Relationship Id="rId218" Type="http://schemas.openxmlformats.org/officeDocument/2006/relationships/hyperlink" Target="https://www.pem.org/" TargetMode="External"/><Relationship Id="rId239" Type="http://schemas.openxmlformats.org/officeDocument/2006/relationships/hyperlink" Target="https://www.msstate.edu/" TargetMode="External"/><Relationship Id="rId250" Type="http://schemas.openxmlformats.org/officeDocument/2006/relationships/hyperlink" Target="https://naturalhistory.si.edu/" TargetMode="External"/><Relationship Id="rId271" Type="http://schemas.openxmlformats.org/officeDocument/2006/relationships/hyperlink" Target="https://bpn.gov.pl/muzeum-przyrodniczo-lesne-1" TargetMode="External"/><Relationship Id="rId292" Type="http://schemas.openxmlformats.org/officeDocument/2006/relationships/hyperlink" Target="https://uwymv.wyomingbiodiversity.org/" TargetMode="External"/><Relationship Id="rId24" Type="http://schemas.openxmlformats.org/officeDocument/2006/relationships/hyperlink" Target="https://mvz.berkeley.edu/" TargetMode="External"/><Relationship Id="rId45" Type="http://schemas.openxmlformats.org/officeDocument/2006/relationships/hyperlink" Target="https://museum.nantesmetropole.fr/home.html" TargetMode="External"/><Relationship Id="rId66" Type="http://schemas.openxmlformats.org/officeDocument/2006/relationships/hyperlink" Target="https://www.zoologicalmuseum.nl/en/the-museum/" TargetMode="External"/><Relationship Id="rId87" Type="http://schemas.openxmlformats.org/officeDocument/2006/relationships/hyperlink" Target="https://www.theherbert.org/" TargetMode="External"/><Relationship Id="rId110" Type="http://schemas.openxmlformats.org/officeDocument/2006/relationships/hyperlink" Target="https://www.musees.strasbourg.eu/" TargetMode="External"/><Relationship Id="rId131" Type="http://schemas.openxmlformats.org/officeDocument/2006/relationships/hyperlink" Target="https://www.museum.unl.edu/" TargetMode="External"/><Relationship Id="rId152" Type="http://schemas.openxmlformats.org/officeDocument/2006/relationships/hyperlink" Target="https://www.birminghammuseums.org.uk/" TargetMode="External"/><Relationship Id="rId173" Type="http://schemas.openxmlformats.org/officeDocument/2006/relationships/hyperlink" Target="https://inhs.illinois.edu/" TargetMode="External"/><Relationship Id="rId194" Type="http://schemas.openxmlformats.org/officeDocument/2006/relationships/hyperlink" Target="https://www.museo.fcnym.unlp.edu.ar/" TargetMode="External"/><Relationship Id="rId208" Type="http://schemas.openxmlformats.org/officeDocument/2006/relationships/hyperlink" Target="https://www.nhmmaastricht.nl/" TargetMode="External"/><Relationship Id="rId229" Type="http://schemas.openxmlformats.org/officeDocument/2006/relationships/hyperlink" Target="https://www.museocivicodizoologia.it/it" TargetMode="External"/><Relationship Id="rId240" Type="http://schemas.openxmlformats.org/officeDocument/2006/relationships/hyperlink" Target="https://www.ecotarium.org/" TargetMode="External"/><Relationship Id="rId261" Type="http://schemas.openxmlformats.org/officeDocument/2006/relationships/hyperlink" Target="https://www.naturkundemuseum-bamberg.de/" TargetMode="External"/><Relationship Id="rId14" Type="http://schemas.openxmlformats.org/officeDocument/2006/relationships/hyperlink" Target="https://www.naturkundemuseum.uni-halle.de/" TargetMode="External"/><Relationship Id="rId35" Type="http://schemas.openxmlformats.org/officeDocument/2006/relationships/hyperlink" Target="https://www.lwl-naturkundemuseum-muenster.de/en/" TargetMode="External"/><Relationship Id="rId56" Type="http://schemas.openxmlformats.org/officeDocument/2006/relationships/hyperlink" Target="https://snm.dk/en/article/history-zoological-museum" TargetMode="External"/><Relationship Id="rId77" Type="http://schemas.openxmlformats.org/officeDocument/2006/relationships/hyperlink" Target="https://www.csiro.au/en/about/facilities-collections/collections/anwc" TargetMode="External"/><Relationship Id="rId100" Type="http://schemas.openxmlformats.org/officeDocument/2006/relationships/hyperlink" Target="https://www.bristolmuseums.org.uk/" TargetMode="External"/><Relationship Id="rId282" Type="http://schemas.openxmlformats.org/officeDocument/2006/relationships/hyperlink" Target="https://www.kkkm.ru/" TargetMode="External"/><Relationship Id="rId8" Type="http://schemas.openxmlformats.org/officeDocument/2006/relationships/hyperlink" Target="https://delmns.org/" TargetMode="External"/><Relationship Id="rId98" Type="http://schemas.openxmlformats.org/officeDocument/2006/relationships/hyperlink" Target="https://snm.dk/en/article/history-zoological-museum" TargetMode="External"/><Relationship Id="rId121" Type="http://schemas.openxmlformats.org/officeDocument/2006/relationships/hyperlink" Target="https://www.uark.edu/" TargetMode="External"/><Relationship Id="rId142" Type="http://schemas.openxmlformats.org/officeDocument/2006/relationships/hyperlink" Target="https://www.aucklandmuseum.com/" TargetMode="External"/><Relationship Id="rId163" Type="http://schemas.openxmlformats.org/officeDocument/2006/relationships/hyperlink" Target="https://www.birds.org.il/en/birding-center/The-Israel-Ornithological-Center" TargetMode="External"/><Relationship Id="rId184" Type="http://schemas.openxmlformats.org/officeDocument/2006/relationships/hyperlink" Target="https://www.naturkundemuseum-bw.de/" TargetMode="External"/><Relationship Id="rId219" Type="http://schemas.openxmlformats.org/officeDocument/2006/relationships/hyperlink" Target="https://www.isu.edu/" TargetMode="External"/><Relationship Id="rId230" Type="http://schemas.openxmlformats.org/officeDocument/2006/relationships/hyperlink" Target="https://www.utm.edu/" TargetMode="External"/><Relationship Id="rId251" Type="http://schemas.openxmlformats.org/officeDocument/2006/relationships/hyperlink" Target="https://www.cincymuseum.org/" TargetMode="External"/><Relationship Id="rId25" Type="http://schemas.openxmlformats.org/officeDocument/2006/relationships/hyperlink" Target="https://peabody.yale.edu/" TargetMode="External"/><Relationship Id="rId46" Type="http://schemas.openxmlformats.org/officeDocument/2006/relationships/hyperlink" Target="https://snm.dk/en/article/history-zoological-museum" TargetMode="External"/><Relationship Id="rId67" Type="http://schemas.openxmlformats.org/officeDocument/2006/relationships/hyperlink" Target="https://www.readingmuseum.org.uk/" TargetMode="External"/><Relationship Id="rId272" Type="http://schemas.openxmlformats.org/officeDocument/2006/relationships/hyperlink" Target="https://www.naturaravenna.it/il-museo/" TargetMode="External"/><Relationship Id="rId293" Type="http://schemas.openxmlformats.org/officeDocument/2006/relationships/printerSettings" Target="../printerSettings/printerSettings1.bin"/><Relationship Id="rId88" Type="http://schemas.openxmlformats.org/officeDocument/2006/relationships/hyperlink" Target="https://www.mjakub.cz/?jaz=EN" TargetMode="External"/><Relationship Id="rId111" Type="http://schemas.openxmlformats.org/officeDocument/2006/relationships/hyperlink" Target="https://muzeum-przyrodnicze.uni.wroc.pl/" TargetMode="External"/><Relationship Id="rId132" Type="http://schemas.openxmlformats.org/officeDocument/2006/relationships/hyperlink" Target="https://www.museumfuernaturkunde.berlin/" TargetMode="External"/><Relationship Id="rId153" Type="http://schemas.openxmlformats.org/officeDocument/2006/relationships/hyperlink" Target="https://mnh.uiowa.edu/" TargetMode="External"/><Relationship Id="rId174" Type="http://schemas.openxmlformats.org/officeDocument/2006/relationships/hyperlink" Target="https://www.unm.edu/" TargetMode="External"/><Relationship Id="rId195" Type="http://schemas.openxmlformats.org/officeDocument/2006/relationships/hyperlink" Target="https://www.uni-tuebingen.de/" TargetMode="External"/><Relationship Id="rId209" Type="http://schemas.openxmlformats.org/officeDocument/2006/relationships/hyperlink" Target="https://www.etsu.edu/" TargetMode="External"/><Relationship Id="rId220" Type="http://schemas.openxmlformats.org/officeDocument/2006/relationships/hyperlink" Target="https://museum.novascotia.ca/" TargetMode="External"/><Relationship Id="rId241" Type="http://schemas.openxmlformats.org/officeDocument/2006/relationships/hyperlink" Target="https://www.fortworthmuseum.org/" TargetMode="External"/><Relationship Id="rId15" Type="http://schemas.openxmlformats.org/officeDocument/2006/relationships/hyperlink" Target="https://www.fieldmuseum.org/" TargetMode="External"/><Relationship Id="rId36" Type="http://schemas.openxmlformats.org/officeDocument/2006/relationships/hyperlink" Target="https://www.zin.ru/museum/" TargetMode="External"/><Relationship Id="rId57" Type="http://schemas.openxmlformats.org/officeDocument/2006/relationships/hyperlink" Target="https://www.umass.edu/" TargetMode="External"/><Relationship Id="rId262" Type="http://schemas.openxmlformats.org/officeDocument/2006/relationships/hyperlink" Target="https://www.muzeumkarkonoskie.pl/" TargetMode="External"/><Relationship Id="rId283" Type="http://schemas.openxmlformats.org/officeDocument/2006/relationships/hyperlink" Target="https://www.mnhn.cl/" TargetMode="External"/><Relationship Id="rId78" Type="http://schemas.openxmlformats.org/officeDocument/2006/relationships/hyperlink" Target="https://lsa.umich.edu/ummz" TargetMode="External"/><Relationship Id="rId99" Type="http://schemas.openxmlformats.org/officeDocument/2006/relationships/hyperlink" Target="https://mlbean.byu.edu/" TargetMode="External"/><Relationship Id="rId101" Type="http://schemas.openxmlformats.org/officeDocument/2006/relationships/hyperlink" Target="https://ornitologianeotropical.org/" TargetMode="External"/><Relationship Id="rId122" Type="http://schemas.openxmlformats.org/officeDocument/2006/relationships/hyperlink" Target="https://www.museum.wa.gov.au/" TargetMode="External"/><Relationship Id="rId143" Type="http://schemas.openxmlformats.org/officeDocument/2006/relationships/hyperlink" Target="https://www.museum-am-schoelerberg.de/" TargetMode="External"/><Relationship Id="rId164" Type="http://schemas.openxmlformats.org/officeDocument/2006/relationships/hyperlink" Target="https://www.qvmag.tas.gov.au/" TargetMode="External"/><Relationship Id="rId185" Type="http://schemas.openxmlformats.org/officeDocument/2006/relationships/hyperlink" Target="https://www.bellmuseum.umn.edu/" TargetMode="External"/><Relationship Id="rId9" Type="http://schemas.openxmlformats.org/officeDocument/2006/relationships/hyperlink" Target="https://naturalhistory.si.edu/" TargetMode="External"/><Relationship Id="rId210" Type="http://schemas.openxmlformats.org/officeDocument/2006/relationships/hyperlink" Target="https://www.uwsp.edu/" TargetMode="External"/><Relationship Id="rId26" Type="http://schemas.openxmlformats.org/officeDocument/2006/relationships/hyperlink" Target="https://www.nhm-wien.ac.at/" TargetMode="External"/><Relationship Id="rId231" Type="http://schemas.openxmlformats.org/officeDocument/2006/relationships/hyperlink" Target="https://www.biodivmuseum.de/de/startseite/" TargetMode="External"/><Relationship Id="rId252" Type="http://schemas.openxmlformats.org/officeDocument/2006/relationships/hyperlink" Target="https://www.colostate.edu/" TargetMode="External"/><Relationship Id="rId273" Type="http://schemas.openxmlformats.org/officeDocument/2006/relationships/hyperlink" Target="https://www.aquasis.org/" TargetMode="External"/><Relationship Id="rId47" Type="http://schemas.openxmlformats.org/officeDocument/2006/relationships/hyperlink" Target="https://zmmu.msu.ru/" TargetMode="External"/><Relationship Id="rId68" Type="http://schemas.openxmlformats.org/officeDocument/2006/relationships/hyperlink" Target="https://www.biologie.uni-hamburg.de/en/forschung/sammlungen-und-garten/centrum-fuer-naturkunde.html" TargetMode="External"/><Relationship Id="rId89" Type="http://schemas.openxmlformats.org/officeDocument/2006/relationships/hyperlink" Target="https://natmuseum.ut.ee/et" TargetMode="External"/><Relationship Id="rId112" Type="http://schemas.openxmlformats.org/officeDocument/2006/relationships/hyperlink" Target="https://www.oumnh.ox.ac.uk/" TargetMode="External"/><Relationship Id="rId133" Type="http://schemas.openxmlformats.org/officeDocument/2006/relationships/hyperlink" Target="https://www.ebd.csic.es/" TargetMode="External"/><Relationship Id="rId154" Type="http://schemas.openxmlformats.org/officeDocument/2006/relationships/hyperlink" Target="https://www.fairbanksmuseum.org/" TargetMode="External"/><Relationship Id="rId175" Type="http://schemas.openxmlformats.org/officeDocument/2006/relationships/hyperlink" Target="https://www.museedesconfluences.fr/" TargetMode="External"/><Relationship Id="rId196" Type="http://schemas.openxmlformats.org/officeDocument/2006/relationships/hyperlink" Target="https://www.crossriverheritage.org/" TargetMode="External"/><Relationship Id="rId200" Type="http://schemas.openxmlformats.org/officeDocument/2006/relationships/hyperlink" Target="https://www.rmsc.org/" TargetMode="External"/><Relationship Id="rId16" Type="http://schemas.openxmlformats.org/officeDocument/2006/relationships/hyperlink" Target="https://www.australianmuseum.net.au/" TargetMode="External"/><Relationship Id="rId221" Type="http://schemas.openxmlformats.org/officeDocument/2006/relationships/hyperlink" Target="https://www.museostorianaturale.com/" TargetMode="External"/><Relationship Id="rId242" Type="http://schemas.openxmlformats.org/officeDocument/2006/relationships/hyperlink" Target="https://www.storianaturale.org/carmagnola/ita/" TargetMode="External"/><Relationship Id="rId263" Type="http://schemas.openxmlformats.org/officeDocument/2006/relationships/hyperlink" Target="https://www.yamashina.or.jp/" TargetMode="External"/><Relationship Id="rId284" Type="http://schemas.openxmlformats.org/officeDocument/2006/relationships/hyperlink" Target="https://lasalle.edu.co/es/noticias/museo-de-historia-natural-de-la-salle-un-legado-cientifico-en-colombia" TargetMode="External"/><Relationship Id="rId37" Type="http://schemas.openxmlformats.org/officeDocument/2006/relationships/hyperlink" Target="https://www.nhm.uio.no/english/" TargetMode="External"/><Relationship Id="rId58" Type="http://schemas.openxmlformats.org/officeDocument/2006/relationships/hyperlink" Target="https://www.meeresmuseum.de/" TargetMode="External"/><Relationship Id="rId79" Type="http://schemas.openxmlformats.org/officeDocument/2006/relationships/hyperlink" Target="https://www.mueritzeum.de/" TargetMode="External"/><Relationship Id="rId102" Type="http://schemas.openxmlformats.org/officeDocument/2006/relationships/hyperlink" Target="https://www.senckenberg.de/" TargetMode="External"/><Relationship Id="rId123" Type="http://schemas.openxmlformats.org/officeDocument/2006/relationships/hyperlink" Target="https://www.sciencemuseum.org.uk/" TargetMode="External"/><Relationship Id="rId144" Type="http://schemas.openxmlformats.org/officeDocument/2006/relationships/hyperlink" Target="https://www.ccmuseum.com/" TargetMode="External"/><Relationship Id="rId90" Type="http://schemas.openxmlformats.org/officeDocument/2006/relationships/hyperlink" Target="https://www.naturkunde-museum-coburg.de/" TargetMode="External"/><Relationship Id="rId165" Type="http://schemas.openxmlformats.org/officeDocument/2006/relationships/hyperlink" Target="https://www.zsm.mwn.de/" TargetMode="External"/><Relationship Id="rId186" Type="http://schemas.openxmlformats.org/officeDocument/2006/relationships/hyperlink" Target="https://www.muzeum.rzeszow.pl/pl/" TargetMode="External"/><Relationship Id="rId211" Type="http://schemas.openxmlformats.org/officeDocument/2006/relationships/hyperlink" Target="https://www.royalsaskmuseum.ca/" TargetMode="External"/><Relationship Id="rId232" Type="http://schemas.openxmlformats.org/officeDocument/2006/relationships/hyperlink" Target="https://natuurmuseumfryslan.nl/?utm_source=gmb&amp;utm_medium=gmb&amp;utm_campaign=gmb&amp;utm_id=gmb&amp;utm_term=gmb&amp;utm_content=gmb" TargetMode="External"/><Relationship Id="rId253" Type="http://schemas.openxmlformats.org/officeDocument/2006/relationships/hyperlink" Target="https://www.museoartecontemporanea.it/museo_dAumale/" TargetMode="External"/><Relationship Id="rId274" Type="http://schemas.openxmlformats.org/officeDocument/2006/relationships/hyperlink" Target="https://www.sema.rs.gov.br/museu-de-ciencias-naturais-mcn" TargetMode="External"/><Relationship Id="rId27" Type="http://schemas.openxmlformats.org/officeDocument/2006/relationships/hyperlink" Target="https://www.liverpoolmuseums.org.uk/world-museum" TargetMode="External"/><Relationship Id="rId48" Type="http://schemas.openxmlformats.org/officeDocument/2006/relationships/hyperlink" Target="https://museum.wales/" TargetMode="External"/><Relationship Id="rId69" Type="http://schemas.openxmlformats.org/officeDocument/2006/relationships/hyperlink" Target="https://www.naturkundemuseum-potsdam.de/de" TargetMode="External"/><Relationship Id="rId113" Type="http://schemas.openxmlformats.org/officeDocument/2006/relationships/hyperlink" Target="https://museum-neuchatel.ch/" TargetMode="External"/><Relationship Id="rId134" Type="http://schemas.openxmlformats.org/officeDocument/2006/relationships/hyperlink" Target="https://www.muzeum.bytom.pl/" TargetMode="External"/><Relationship Id="rId80" Type="http://schemas.openxmlformats.org/officeDocument/2006/relationships/hyperlink" Target="https://nature.ca/en/" TargetMode="External"/><Relationship Id="rId155" Type="http://schemas.openxmlformats.org/officeDocument/2006/relationships/hyperlink" Target="https://mnch.uoregon.edu/" TargetMode="External"/><Relationship Id="rId176" Type="http://schemas.openxmlformats.org/officeDocument/2006/relationships/hyperlink" Target="https://statemuseumpa.org/" TargetMode="External"/><Relationship Id="rId197" Type="http://schemas.openxmlformats.org/officeDocument/2006/relationships/hyperlink" Target="https://www.hetnatuurhistorisch.nl/" TargetMode="External"/><Relationship Id="rId201" Type="http://schemas.openxmlformats.org/officeDocument/2006/relationships/hyperlink" Target="https://www.miami.edu/" TargetMode="External"/><Relationship Id="rId222" Type="http://schemas.openxmlformats.org/officeDocument/2006/relationships/hyperlink" Target="https://www.fsu.edu/" TargetMode="External"/><Relationship Id="rId243" Type="http://schemas.openxmlformats.org/officeDocument/2006/relationships/hyperlink" Target="https://www.museoameghino.gob.ar/" TargetMode="External"/><Relationship Id="rId264" Type="http://schemas.openxmlformats.org/officeDocument/2006/relationships/hyperlink" Target="https://www.zin.ru/" TargetMode="External"/><Relationship Id="rId285" Type="http://schemas.openxmlformats.org/officeDocument/2006/relationships/hyperlink" Target="http://sifauna.ueuo.com/" TargetMode="External"/><Relationship Id="rId17" Type="http://schemas.openxmlformats.org/officeDocument/2006/relationships/hyperlink" Target="https://www.3landesmuseen.de/" TargetMode="External"/><Relationship Id="rId38" Type="http://schemas.openxmlformats.org/officeDocument/2006/relationships/hyperlink" Target="https://www.glasgowlife.org.uk/museums" TargetMode="External"/><Relationship Id="rId59" Type="http://schemas.openxmlformats.org/officeDocument/2006/relationships/hyperlink" Target="https://www.nysm.nysed.gov/" TargetMode="External"/><Relationship Id="rId103" Type="http://schemas.openxmlformats.org/officeDocument/2006/relationships/hyperlink" Target="https://mz.usp.br/en/" TargetMode="External"/><Relationship Id="rId124" Type="http://schemas.openxmlformats.org/officeDocument/2006/relationships/hyperlink" Target="https://www.africamuseum.be/" TargetMode="External"/><Relationship Id="rId70" Type="http://schemas.openxmlformats.org/officeDocument/2006/relationships/hyperlink" Target="https://www.burkemuseum.org/" TargetMode="External"/><Relationship Id="rId91" Type="http://schemas.openxmlformats.org/officeDocument/2006/relationships/hyperlink" Target="https://museumsandgalleries.leeds.gov.uk/" TargetMode="External"/><Relationship Id="rId145" Type="http://schemas.openxmlformats.org/officeDocument/2006/relationships/hyperlink" Target="https://noticias.uc.pt/artigos/visite-a-galeria-de-zoologia-do-museu-da-ciencia/" TargetMode="External"/><Relationship Id="rId166" Type="http://schemas.openxmlformats.org/officeDocument/2006/relationships/hyperlink" Target="https://www.museen-aschaffenburg.de/Naturwissenschaftliches--Museum-/DE_index_1085.html" TargetMode="External"/><Relationship Id="rId187" Type="http://schemas.openxmlformats.org/officeDocument/2006/relationships/hyperlink" Target="https://www.adams.edu/" TargetMode="External"/><Relationship Id="rId1" Type="http://schemas.openxmlformats.org/officeDocument/2006/relationships/hyperlink" Target="https://www.tbri.gov.tw/" TargetMode="External"/><Relationship Id="rId212" Type="http://schemas.openxmlformats.org/officeDocument/2006/relationships/hyperlink" Target="https://www.tmag.tas.gov.au/" TargetMode="External"/><Relationship Id="rId233" Type="http://schemas.openxmlformats.org/officeDocument/2006/relationships/hyperlink" Target="https://www.gov.br/museugoeldi/pt-br" TargetMode="External"/><Relationship Id="rId254" Type="http://schemas.openxmlformats.org/officeDocument/2006/relationships/hyperlink" Target="https://cibet.ucr.ac.cr/museo-de-zoologia-de-la-universidad-de-costa-rica/" TargetMode="External"/><Relationship Id="rId28" Type="http://schemas.openxmlformats.org/officeDocument/2006/relationships/hyperlink" Target="https://www.uwgb.edu/" TargetMode="External"/><Relationship Id="rId49" Type="http://schemas.openxmlformats.org/officeDocument/2006/relationships/hyperlink" Target="https://www.museum.zoo.cam.ac.uk/" TargetMode="External"/><Relationship Id="rId114" Type="http://schemas.openxmlformats.org/officeDocument/2006/relationships/hyperlink" Target="https://biodiversity.ku.edu/" TargetMode="External"/><Relationship Id="rId275" Type="http://schemas.openxmlformats.org/officeDocument/2006/relationships/hyperlink" Target="https://www.museidigenova.it/it/museo-di-storia-naturale-giacomo-doria-0" TargetMode="External"/><Relationship Id="rId60" Type="http://schemas.openxmlformats.org/officeDocument/2006/relationships/hyperlink" Target="https://www.boltonlams.co.uk/" TargetMode="External"/><Relationship Id="rId81" Type="http://schemas.openxmlformats.org/officeDocument/2006/relationships/hyperlink" Target="https://www.charlestonmuseum.org/" TargetMode="External"/><Relationship Id="rId135" Type="http://schemas.openxmlformats.org/officeDocument/2006/relationships/hyperlink" Target="https://www.otagomuseum.nz/" TargetMode="External"/><Relationship Id="rId156" Type="http://schemas.openxmlformats.org/officeDocument/2006/relationships/hyperlink" Target="https://www.pfalzmuseum.de/" TargetMode="External"/><Relationship Id="rId177" Type="http://schemas.openxmlformats.org/officeDocument/2006/relationships/hyperlink" Target="https://www.sewanee.edu/" TargetMode="External"/><Relationship Id="rId198" Type="http://schemas.openxmlformats.org/officeDocument/2006/relationships/hyperlink" Target="https://www.bates.edu/" TargetMode="External"/><Relationship Id="rId202" Type="http://schemas.openxmlformats.org/officeDocument/2006/relationships/hyperlink" Target="https://www.puc.edu/" TargetMode="External"/><Relationship Id="rId223" Type="http://schemas.openxmlformats.org/officeDocument/2006/relationships/hyperlink" Target="https://www.umaine.edu/" TargetMode="External"/><Relationship Id="rId244" Type="http://schemas.openxmlformats.org/officeDocument/2006/relationships/hyperlink" Target="https://www.calstate.edu/" TargetMode="External"/><Relationship Id="rId18" Type="http://schemas.openxmlformats.org/officeDocument/2006/relationships/hyperlink" Target="https://hamburg.leibniz-lib.de/de/" TargetMode="External"/><Relationship Id="rId39" Type="http://schemas.openxmlformats.org/officeDocument/2006/relationships/hyperlink" Target="https://greatnorthmuseum.org.uk/" TargetMode="External"/><Relationship Id="rId265" Type="http://schemas.openxmlformats.org/officeDocument/2006/relationships/hyperlink" Target="https://www.mncn.csic.es/" TargetMode="External"/><Relationship Id="rId286" Type="http://schemas.openxmlformats.org/officeDocument/2006/relationships/hyperlink" Target="https://www.utmn.ru/en" TargetMode="External"/><Relationship Id="rId50" Type="http://schemas.openxmlformats.org/officeDocument/2006/relationships/hyperlink" Target="https://naturalhistorymuseumzimbabwe.com/" TargetMode="External"/><Relationship Id="rId104" Type="http://schemas.openxmlformats.org/officeDocument/2006/relationships/hyperlink" Target="https://www.unr.edu/" TargetMode="External"/><Relationship Id="rId125" Type="http://schemas.openxmlformats.org/officeDocument/2006/relationships/hyperlink" Target="https://collections.utu.fi/en/zoological-museum/" TargetMode="External"/><Relationship Id="rId146" Type="http://schemas.openxmlformats.org/officeDocument/2006/relationships/hyperlink" Target="https://www.tepapa.govt.nz/" TargetMode="External"/><Relationship Id="rId167" Type="http://schemas.openxmlformats.org/officeDocument/2006/relationships/hyperlink" Target="https://www.lillo.org.ar/" TargetMode="External"/><Relationship Id="rId188" Type="http://schemas.openxmlformats.org/officeDocument/2006/relationships/hyperlink" Target="https://www.info.hazu.hr/en/jedinice/zavod-za-ornitologiju-u-zagrebu/" TargetMode="External"/><Relationship Id="rId71" Type="http://schemas.openxmlformats.org/officeDocument/2006/relationships/hyperlink" Target="https://www.humboldt.org.co/" TargetMode="External"/><Relationship Id="rId92" Type="http://schemas.openxmlformats.org/officeDocument/2006/relationships/hyperlink" Target="https://www.isez.pan.krakow.pl/" TargetMode="External"/><Relationship Id="rId213" Type="http://schemas.openxmlformats.org/officeDocument/2006/relationships/hyperlink" Target="https://zzps.rs/" TargetMode="External"/><Relationship Id="rId234" Type="http://schemas.openxmlformats.org/officeDocument/2006/relationships/hyperlink" Target="https://miamioh.edu/cas/centers-institutes/hefner-museum-natural-history/" TargetMode="External"/><Relationship Id="rId2" Type="http://schemas.openxmlformats.org/officeDocument/2006/relationships/hyperlink" Target="https://www.nhm.ac.uk/" TargetMode="External"/><Relationship Id="rId29" Type="http://schemas.openxmlformats.org/officeDocument/2006/relationships/hyperlink" Target="https://www.landesmuseum-hannover.de/" TargetMode="External"/><Relationship Id="rId255" Type="http://schemas.openxmlformats.org/officeDocument/2006/relationships/hyperlink" Target="https://www.mauritianum.de/" TargetMode="External"/><Relationship Id="rId276" Type="http://schemas.openxmlformats.org/officeDocument/2006/relationships/hyperlink" Target="https://ifv-vogelwarte.de/institut" TargetMode="External"/><Relationship Id="rId40" Type="http://schemas.openxmlformats.org/officeDocument/2006/relationships/hyperlink" Target="https://brightonmuseums.org.uk/booth-museum-of-natural-history/" TargetMode="External"/><Relationship Id="rId115" Type="http://schemas.openxmlformats.org/officeDocument/2006/relationships/hyperlink" Target="https://www.birds.cornell.edu/" TargetMode="External"/><Relationship Id="rId136" Type="http://schemas.openxmlformats.org/officeDocument/2006/relationships/hyperlink" Target="https://www.naturkundemuseum-bw.de/" TargetMode="External"/><Relationship Id="rId157" Type="http://schemas.openxmlformats.org/officeDocument/2006/relationships/hyperlink" Target="https://natureum.ch/fr/" TargetMode="External"/><Relationship Id="rId178" Type="http://schemas.openxmlformats.org/officeDocument/2006/relationships/hyperlink" Target="https://www.fao.org/agris/es/node/124385" TargetMode="External"/><Relationship Id="rId61" Type="http://schemas.openxmlformats.org/officeDocument/2006/relationships/hyperlink" Target="https://www.clemson.edu/" TargetMode="External"/><Relationship Id="rId82" Type="http://schemas.openxmlformats.org/officeDocument/2006/relationships/hyperlink" Target="https://samnoblemuseum.ou.edu/" TargetMode="External"/><Relationship Id="rId199" Type="http://schemas.openxmlformats.org/officeDocument/2006/relationships/hyperlink" Target="https://www.tshaonline.org/handbook/entries/more-robert-lee" TargetMode="External"/><Relationship Id="rId203" Type="http://schemas.openxmlformats.org/officeDocument/2006/relationships/hyperlink" Target="https://sydney.edu.au/macleay" TargetMode="External"/><Relationship Id="rId19" Type="http://schemas.openxmlformats.org/officeDocument/2006/relationships/hyperlink" Target="https://institutions.ville-geneve.ch/fr/mhn/" TargetMode="External"/><Relationship Id="rId224" Type="http://schemas.openxmlformats.org/officeDocument/2006/relationships/hyperlink" Target="https://www.museum-joanneum.at/" TargetMode="External"/><Relationship Id="rId245" Type="http://schemas.openxmlformats.org/officeDocument/2006/relationships/hyperlink" Target="https://www.sfasu.edu/" TargetMode="External"/><Relationship Id="rId266" Type="http://schemas.openxmlformats.org/officeDocument/2006/relationships/hyperlink" Target="https://www.isprambiente.gov.it/it" TargetMode="External"/><Relationship Id="rId287" Type="http://schemas.openxmlformats.org/officeDocument/2006/relationships/hyperlink" Target="https://www.magnt.net.au/" TargetMode="External"/><Relationship Id="rId30" Type="http://schemas.openxmlformats.org/officeDocument/2006/relationships/hyperlink" Target="https://mcz.harvard.edu/" TargetMode="External"/><Relationship Id="rId105" Type="http://schemas.openxmlformats.org/officeDocument/2006/relationships/hyperlink" Target="https://www.saffronwaldenmuseum.org/" TargetMode="External"/><Relationship Id="rId126" Type="http://schemas.openxmlformats.org/officeDocument/2006/relationships/hyperlink" Target="https://www.rammuseum.org.uk/" TargetMode="External"/><Relationship Id="rId147" Type="http://schemas.openxmlformats.org/officeDocument/2006/relationships/hyperlink" Target="https://www.museum-wiesbaden.de/" TargetMode="External"/><Relationship Id="rId168" Type="http://schemas.openxmlformats.org/officeDocument/2006/relationships/hyperlink" Target="https://www.muzeumbardejov.sk/" TargetMode="External"/><Relationship Id="rId51" Type="http://schemas.openxmlformats.org/officeDocument/2006/relationships/hyperlink" Target="https://www.calacademy.org/" TargetMode="External"/><Relationship Id="rId72" Type="http://schemas.openxmlformats.org/officeDocument/2006/relationships/hyperlink" Target="https://www.pugetsound.edu/slater-museum" TargetMode="External"/><Relationship Id="rId93" Type="http://schemas.openxmlformats.org/officeDocument/2006/relationships/hyperlink" Target="https://www.tulsazoo.org/" TargetMode="External"/><Relationship Id="rId189" Type="http://schemas.openxmlformats.org/officeDocument/2006/relationships/hyperlink" Target="https://www.naturkundemuseum-erfurt.de/" TargetMode="External"/><Relationship Id="rId3" Type="http://schemas.openxmlformats.org/officeDocument/2006/relationships/hyperlink" Target="https://wfvz.org/" TargetMode="External"/><Relationship Id="rId214" Type="http://schemas.openxmlformats.org/officeDocument/2006/relationships/hyperlink" Target="https://www.zzps.rs/" TargetMode="External"/><Relationship Id="rId235" Type="http://schemas.openxmlformats.org/officeDocument/2006/relationships/hyperlink" Target="https://www.pfalzmuseum.de/" TargetMode="External"/><Relationship Id="rId256" Type="http://schemas.openxmlformats.org/officeDocument/2006/relationships/hyperlink" Target="https://www.swanseamuseum.co.uk/" TargetMode="External"/><Relationship Id="rId277" Type="http://schemas.openxmlformats.org/officeDocument/2006/relationships/hyperlink" Target="https://museoserrano.blogspot.com/" TargetMode="External"/><Relationship Id="rId116" Type="http://schemas.openxmlformats.org/officeDocument/2006/relationships/hyperlink" Target="https://www.durban.org.za/artculture/museums/natural.html" TargetMode="External"/><Relationship Id="rId137" Type="http://schemas.openxmlformats.org/officeDocument/2006/relationships/hyperlink" Target="https://www.museum-westlausitz.de/" TargetMode="External"/><Relationship Id="rId158" Type="http://schemas.openxmlformats.org/officeDocument/2006/relationships/hyperlink" Target="https://www.shropshiremuseums.org.uk/" TargetMode="External"/><Relationship Id="rId20" Type="http://schemas.openxmlformats.org/officeDocument/2006/relationships/hyperlink" Target="https://snm.dk/en/article/history-zoological-museum" TargetMode="External"/><Relationship Id="rId41" Type="http://schemas.openxmlformats.org/officeDocument/2006/relationships/hyperlink" Target="https://www.sbnature.org/" TargetMode="External"/><Relationship Id="rId62" Type="http://schemas.openxmlformats.org/officeDocument/2006/relationships/hyperlink" Target="https://www.naturkundemuseum.leipzig.de/" TargetMode="External"/><Relationship Id="rId83" Type="http://schemas.openxmlformats.org/officeDocument/2006/relationships/hyperlink" Target="https://www.ooekultur.at/location-detail/biodiversit%C3%A4tszentrum" TargetMode="External"/><Relationship Id="rId179" Type="http://schemas.openxmlformats.org/officeDocument/2006/relationships/hyperlink" Target="https://www.humboldt.edu/" TargetMode="External"/><Relationship Id="rId190" Type="http://schemas.openxmlformats.org/officeDocument/2006/relationships/hyperlink" Target="https://www.baylor.edu/mayborn" TargetMode="External"/><Relationship Id="rId204" Type="http://schemas.openxmlformats.org/officeDocument/2006/relationships/hyperlink" Target="https://www.museocostarica.go.cr/" TargetMode="External"/><Relationship Id="rId225" Type="http://schemas.openxmlformats.org/officeDocument/2006/relationships/hyperlink" Target="https://www.msn.unifi.it/" TargetMode="External"/><Relationship Id="rId246" Type="http://schemas.openxmlformats.org/officeDocument/2006/relationships/hyperlink" Target="https://www.wallawalla.edu/" TargetMode="External"/><Relationship Id="rId267" Type="http://schemas.openxmlformats.org/officeDocument/2006/relationships/hyperlink" Target="http://www.ibiologia.unam.mx/cnav/" TargetMode="External"/><Relationship Id="rId288" Type="http://schemas.openxmlformats.org/officeDocument/2006/relationships/hyperlink" Target="https://pagina.fciencias.unam.mx/vida-en-ciencias/instalaciones/instalaciones-academicas/museos/museo-zoologia-colecciones" TargetMode="External"/><Relationship Id="rId106" Type="http://schemas.openxmlformats.org/officeDocument/2006/relationships/hyperlink" Target="https://www.mpm.edu/" TargetMode="External"/><Relationship Id="rId127" Type="http://schemas.openxmlformats.org/officeDocument/2006/relationships/hyperlink" Target="https://cumuseum.colorado.edu/" TargetMode="External"/><Relationship Id="rId10" Type="http://schemas.openxmlformats.org/officeDocument/2006/relationships/hyperlink" Target="https://www.luomus.fi/" TargetMode="External"/><Relationship Id="rId31" Type="http://schemas.openxmlformats.org/officeDocument/2006/relationships/hyperlink" Target="https://www.museum.manchester.ac.uk/" TargetMode="External"/><Relationship Id="rId52" Type="http://schemas.openxmlformats.org/officeDocument/2006/relationships/hyperlink" Target="https://www.heineanum.de/" TargetMode="External"/><Relationship Id="rId73" Type="http://schemas.openxmlformats.org/officeDocument/2006/relationships/hyperlink" Target="https://www.nhm-rudolstadt.de/" TargetMode="External"/><Relationship Id="rId94" Type="http://schemas.openxmlformats.org/officeDocument/2006/relationships/hyperlink" Target="https://aquazoo-duesseldorf.de/" TargetMode="External"/><Relationship Id="rId148" Type="http://schemas.openxmlformats.org/officeDocument/2006/relationships/hyperlink" Target="https://www.musees-saint-omer.fr/histoire-musee-dupuis/" TargetMode="External"/><Relationship Id="rId169" Type="http://schemas.openxmlformats.org/officeDocument/2006/relationships/hyperlink" Target="https://www.nmz.uzh.ch/en/besucherinformation.html" TargetMode="External"/><Relationship Id="rId4" Type="http://schemas.openxmlformats.org/officeDocument/2006/relationships/hyperlink" Target="https://www.zfmk.de/" TargetMode="External"/><Relationship Id="rId180" Type="http://schemas.openxmlformats.org/officeDocument/2006/relationships/hyperlink" Target="https://www.earlham.edu/joseph-moore-museum" TargetMode="External"/><Relationship Id="rId215" Type="http://schemas.openxmlformats.org/officeDocument/2006/relationships/hyperlink" Target="https://msu.ru/en/" TargetMode="External"/><Relationship Id="rId236" Type="http://schemas.openxmlformats.org/officeDocument/2006/relationships/hyperlink" Target="https://www.mnhn.lu/" TargetMode="External"/><Relationship Id="rId257" Type="http://schemas.openxmlformats.org/officeDocument/2006/relationships/hyperlink" Target="https://www.almnh.ua.edu/" TargetMode="External"/><Relationship Id="rId278" Type="http://schemas.openxmlformats.org/officeDocument/2006/relationships/hyperlink" Target="https://ebird.org/hotspot/L2574364" TargetMode="External"/><Relationship Id="rId42" Type="http://schemas.openxmlformats.org/officeDocument/2006/relationships/hyperlink" Target="https://carnegiemnh.org/" TargetMode="External"/><Relationship Id="rId84" Type="http://schemas.openxmlformats.org/officeDocument/2006/relationships/hyperlink" Target="https://www.tulliehouse.co.uk/" TargetMode="External"/><Relationship Id="rId138" Type="http://schemas.openxmlformats.org/officeDocument/2006/relationships/hyperlink" Target="https://www.antipa.ro/" TargetMode="External"/><Relationship Id="rId191" Type="http://schemas.openxmlformats.org/officeDocument/2006/relationships/hyperlink" Target="https://www.unb.br/" TargetMode="External"/><Relationship Id="rId205" Type="http://schemas.openxmlformats.org/officeDocument/2006/relationships/hyperlink" Target="https://moorelab.oxy.edu/" TargetMode="External"/><Relationship Id="rId247" Type="http://schemas.openxmlformats.org/officeDocument/2006/relationships/hyperlink" Target="https://www.museum-grenoble.fr/" TargetMode="External"/><Relationship Id="rId107" Type="http://schemas.openxmlformats.org/officeDocument/2006/relationships/hyperlink" Target="https://rbcm.ca/" TargetMode="External"/><Relationship Id="rId289" Type="http://schemas.openxmlformats.org/officeDocument/2006/relationships/hyperlink" Target="https://www.ben.edu/museum" TargetMode="External"/><Relationship Id="rId11" Type="http://schemas.openxmlformats.org/officeDocument/2006/relationships/hyperlink" Target="https://www.nrm.se/" TargetMode="External"/><Relationship Id="rId53" Type="http://schemas.openxmlformats.org/officeDocument/2006/relationships/hyperlink" Target="https://tu-dresden.de/kustodie/sammlungen/fakultaet-umweltwissenschaften/forstzoologische-sammlung?set_language=de" TargetMode="External"/><Relationship Id="rId149" Type="http://schemas.openxmlformats.org/officeDocument/2006/relationships/hyperlink" Target="https://www.macnconicet.gob.ar/" TargetMode="External"/><Relationship Id="rId95" Type="http://schemas.openxmlformats.org/officeDocument/2006/relationships/hyperlink" Target="https://www.uib.no/universitetsmuseet" TargetMode="External"/><Relationship Id="rId160" Type="http://schemas.openxmlformats.org/officeDocument/2006/relationships/hyperlink" Target="https://www.mainz.de/nhm/" TargetMode="External"/><Relationship Id="rId216" Type="http://schemas.openxmlformats.org/officeDocument/2006/relationships/hyperlink" Target="https://www.coe.edu/" TargetMode="External"/><Relationship Id="rId258" Type="http://schemas.openxmlformats.org/officeDocument/2006/relationships/hyperlink" Target="https://www.wagnerfreeinstitute.org/" TargetMode="External"/><Relationship Id="rId22" Type="http://schemas.openxmlformats.org/officeDocument/2006/relationships/hyperlink" Target="https://www.senckenberg.de/" TargetMode="External"/><Relationship Id="rId64" Type="http://schemas.openxmlformats.org/officeDocument/2006/relationships/hyperlink" Target="https://www.nm.cz/" TargetMode="External"/><Relationship Id="rId118" Type="http://schemas.openxmlformats.org/officeDocument/2006/relationships/hyperlink" Target="https://www.museum.qld.gov.au/" TargetMode="External"/><Relationship Id="rId171" Type="http://schemas.openxmlformats.org/officeDocument/2006/relationships/hyperlink" Target="https://www.wisc.edu/" TargetMode="External"/><Relationship Id="rId227" Type="http://schemas.openxmlformats.org/officeDocument/2006/relationships/hyperlink" Target="https://www.uni-siegen.de/start/news/oeffentlichkeit/468692.html" TargetMode="External"/><Relationship Id="rId269" Type="http://schemas.openxmlformats.org/officeDocument/2006/relationships/hyperlink" Target="https://www.ntnu.no/vitenskapsmus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xSplit="2" ySplit="1" topLeftCell="C296" activePane="bottomRight" state="frozen"/>
      <selection pane="topRight" activeCell="C1" sqref="C1"/>
      <selection pane="bottomLeft" activeCell="A2" sqref="A2"/>
      <selection pane="bottomRight" activeCell="H301" sqref="H301"/>
    </sheetView>
  </sheetViews>
  <sheetFormatPr defaultRowHeight="15" x14ac:dyDescent="0.45"/>
  <cols>
    <col min="1" max="1" width="49.5703125" customWidth="1"/>
    <col min="2" max="2" width="45.42578125" style="8" customWidth="1"/>
    <col min="5" max="5" width="22.42578125" bestFit="1" customWidth="1"/>
    <col min="6" max="7" width="14" bestFit="1" customWidth="1"/>
    <col min="8" max="8" width="18.140625" style="6" bestFit="1" customWidth="1"/>
    <col min="10" max="10" width="29.78515625" customWidth="1"/>
  </cols>
  <sheetData>
    <row r="1" spans="1:10" x14ac:dyDescent="0.4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652</v>
      </c>
      <c r="H1" s="5" t="s">
        <v>655</v>
      </c>
      <c r="I1" t="s">
        <v>654</v>
      </c>
      <c r="J1" s="10" t="s">
        <v>659</v>
      </c>
    </row>
    <row r="2" spans="1:10" x14ac:dyDescent="0.45">
      <c r="A2" t="s">
        <v>6</v>
      </c>
      <c r="B2" s="8" t="s">
        <v>207</v>
      </c>
      <c r="C2">
        <v>51.496727</v>
      </c>
      <c r="D2">
        <v>-0.176484</v>
      </c>
      <c r="E2" t="s">
        <v>410</v>
      </c>
      <c r="F2" t="s">
        <v>446</v>
      </c>
      <c r="G2" t="s">
        <v>446</v>
      </c>
      <c r="H2" s="6">
        <f>VLOOKUP(A2, '[1]Marini+iDigBio'!$D$2:$J$306, 7, FALSE)</f>
        <v>450000</v>
      </c>
      <c r="I2">
        <v>1</v>
      </c>
      <c r="J2" s="11" t="s">
        <v>660</v>
      </c>
    </row>
    <row r="3" spans="1:10" ht="30" x14ac:dyDescent="0.45">
      <c r="A3" t="s">
        <v>7</v>
      </c>
      <c r="B3" s="8" t="s">
        <v>208</v>
      </c>
      <c r="C3">
        <v>34.2164</v>
      </c>
      <c r="D3">
        <v>-119.0376</v>
      </c>
      <c r="E3" t="s">
        <v>411</v>
      </c>
      <c r="F3" t="s">
        <v>447</v>
      </c>
      <c r="G3" t="s">
        <v>447</v>
      </c>
      <c r="H3" s="6">
        <f>VLOOKUP(A3, '[1]Marini+iDigBio'!$D$2:$J$306, 7, FALSE)</f>
        <v>275000</v>
      </c>
      <c r="I3">
        <v>1</v>
      </c>
      <c r="J3" s="11" t="s">
        <v>661</v>
      </c>
    </row>
    <row r="4" spans="1:10" ht="30" x14ac:dyDescent="0.45">
      <c r="A4" t="s">
        <v>8</v>
      </c>
      <c r="B4" s="8" t="s">
        <v>209</v>
      </c>
      <c r="C4">
        <v>50.720455999999999</v>
      </c>
      <c r="D4">
        <v>7.1187610000000001</v>
      </c>
      <c r="E4" t="s">
        <v>412</v>
      </c>
      <c r="F4" t="s">
        <v>446</v>
      </c>
      <c r="G4" t="s">
        <v>446</v>
      </c>
      <c r="H4" s="6">
        <f>VLOOKUP(A4, '[1]Marini+iDigBio'!$D$2:$J$306, 7, FALSE)</f>
        <v>60000</v>
      </c>
      <c r="I4">
        <v>0</v>
      </c>
      <c r="J4" s="11" t="s">
        <v>662</v>
      </c>
    </row>
    <row r="5" spans="1:10" x14ac:dyDescent="0.45">
      <c r="A5" t="s">
        <v>9</v>
      </c>
      <c r="B5" s="8" t="s">
        <v>210</v>
      </c>
      <c r="C5">
        <v>52.530645</v>
      </c>
      <c r="D5">
        <v>13.381876</v>
      </c>
      <c r="E5" t="s">
        <v>412</v>
      </c>
      <c r="F5" t="s">
        <v>446</v>
      </c>
      <c r="G5" t="s">
        <v>446</v>
      </c>
      <c r="H5" s="6">
        <f>VLOOKUP(A5, '[1]Marini+iDigBio'!$D$2:$J$306, 7, FALSE)</f>
        <v>50000</v>
      </c>
      <c r="I5">
        <v>0</v>
      </c>
      <c r="J5" s="11" t="s">
        <v>663</v>
      </c>
    </row>
    <row r="6" spans="1:10" x14ac:dyDescent="0.45">
      <c r="A6" t="s">
        <v>10</v>
      </c>
      <c r="B6" s="8" t="s">
        <v>211</v>
      </c>
      <c r="C6">
        <v>55.946232999999999</v>
      </c>
      <c r="D6">
        <v>-3.1890200000000002</v>
      </c>
      <c r="E6" t="s">
        <v>410</v>
      </c>
      <c r="F6" t="s">
        <v>446</v>
      </c>
      <c r="G6" t="s">
        <v>446</v>
      </c>
      <c r="H6" s="6">
        <f>VLOOKUP(A6, '[1]Marini+iDigBio'!$D$2:$J$306, 7, FALSE)</f>
        <v>45000</v>
      </c>
      <c r="I6">
        <v>0</v>
      </c>
      <c r="J6" s="11" t="s">
        <v>664</v>
      </c>
    </row>
    <row r="7" spans="1:10" x14ac:dyDescent="0.45">
      <c r="A7" t="s">
        <v>11</v>
      </c>
      <c r="B7" s="8" t="s">
        <v>212</v>
      </c>
      <c r="C7">
        <v>52.160114</v>
      </c>
      <c r="D7">
        <v>4.481776</v>
      </c>
      <c r="E7" t="s">
        <v>413</v>
      </c>
      <c r="F7" t="s">
        <v>446</v>
      </c>
      <c r="G7" t="s">
        <v>446</v>
      </c>
      <c r="H7" s="6">
        <f>VLOOKUP(A7, '[1]Marini+iDigBio'!$D$2:$J$306, 7, FALSE)</f>
        <v>39459</v>
      </c>
      <c r="I7">
        <v>1</v>
      </c>
      <c r="J7" s="11" t="s">
        <v>665</v>
      </c>
    </row>
    <row r="8" spans="1:10" ht="30" x14ac:dyDescent="0.45">
      <c r="A8" t="s">
        <v>12</v>
      </c>
      <c r="B8" s="8" t="s">
        <v>213</v>
      </c>
      <c r="C8">
        <v>39.779564999999998</v>
      </c>
      <c r="D8">
        <v>-75.608086</v>
      </c>
      <c r="E8" t="s">
        <v>411</v>
      </c>
      <c r="F8" t="s">
        <v>447</v>
      </c>
      <c r="G8" t="s">
        <v>447</v>
      </c>
      <c r="H8" s="6">
        <f>VLOOKUP(A8, '[1]Marini+iDigBio'!$D$2:$J$306, 7, FALSE)</f>
        <v>36773</v>
      </c>
      <c r="I8">
        <v>1</v>
      </c>
      <c r="J8" s="11" t="s">
        <v>666</v>
      </c>
    </row>
    <row r="9" spans="1:10" ht="30" x14ac:dyDescent="0.45">
      <c r="A9" t="s">
        <v>13</v>
      </c>
      <c r="B9" s="8" t="s">
        <v>214</v>
      </c>
      <c r="C9">
        <v>38.891013999999998</v>
      </c>
      <c r="D9">
        <v>-77.026702999999998</v>
      </c>
      <c r="E9" t="s">
        <v>411</v>
      </c>
      <c r="F9" t="s">
        <v>447</v>
      </c>
      <c r="G9" t="s">
        <v>447</v>
      </c>
      <c r="H9" s="6">
        <f>VLOOKUP(A9, '[1]Marini+iDigBio'!$D$2:$J$306, 7, FALSE)</f>
        <v>31329</v>
      </c>
      <c r="I9">
        <v>1</v>
      </c>
      <c r="J9" s="11" t="s">
        <v>667</v>
      </c>
    </row>
    <row r="10" spans="1:10" x14ac:dyDescent="0.45">
      <c r="A10" t="s">
        <v>14</v>
      </c>
      <c r="B10" s="8" t="s">
        <v>215</v>
      </c>
      <c r="C10">
        <v>60.171944000000003</v>
      </c>
      <c r="D10">
        <v>24.941389000000001</v>
      </c>
      <c r="E10" t="s">
        <v>414</v>
      </c>
      <c r="F10" t="s">
        <v>446</v>
      </c>
      <c r="G10" t="s">
        <v>446</v>
      </c>
      <c r="H10" s="6">
        <f>VLOOKUP(A10, '[1]Marini+iDigBio'!$D$2:$J$306, 7, FALSE)</f>
        <v>31000</v>
      </c>
      <c r="I10">
        <v>0</v>
      </c>
      <c r="J10" s="11" t="s">
        <v>668</v>
      </c>
    </row>
    <row r="11" spans="1:10" x14ac:dyDescent="0.45">
      <c r="A11" t="s">
        <v>15</v>
      </c>
      <c r="B11" s="8" t="s">
        <v>216</v>
      </c>
      <c r="C11">
        <v>59.367015000000002</v>
      </c>
      <c r="D11">
        <v>18.049227999999999</v>
      </c>
      <c r="E11" t="s">
        <v>415</v>
      </c>
      <c r="F11" t="s">
        <v>446</v>
      </c>
      <c r="G11" t="s">
        <v>446</v>
      </c>
      <c r="H11" s="6">
        <f>VLOOKUP(A11, '[1]Marini+iDigBio'!$D$2:$J$306, 7, FALSE)</f>
        <v>29000</v>
      </c>
      <c r="I11">
        <v>0</v>
      </c>
      <c r="J11" s="11" t="s">
        <v>669</v>
      </c>
    </row>
    <row r="12" spans="1:10" x14ac:dyDescent="0.45">
      <c r="A12" t="s">
        <v>16</v>
      </c>
      <c r="B12" s="8" t="s">
        <v>217</v>
      </c>
      <c r="C12">
        <v>34.063144999999999</v>
      </c>
      <c r="D12">
        <v>-117.168449</v>
      </c>
      <c r="E12" t="s">
        <v>411</v>
      </c>
      <c r="F12" t="s">
        <v>447</v>
      </c>
      <c r="G12" t="s">
        <v>447</v>
      </c>
      <c r="H12" s="6">
        <f>VLOOKUP(A12, '[1]Marini+iDigBio'!$D$2:$J$306, 7, FALSE)</f>
        <v>28042</v>
      </c>
      <c r="I12">
        <v>0</v>
      </c>
      <c r="J12" s="11" t="s">
        <v>670</v>
      </c>
    </row>
    <row r="13" spans="1:10" ht="30" x14ac:dyDescent="0.45">
      <c r="A13" t="s">
        <v>17</v>
      </c>
      <c r="B13" s="8" t="s">
        <v>218</v>
      </c>
      <c r="C13">
        <v>47.483201000000001</v>
      </c>
      <c r="D13">
        <v>19.086563999999999</v>
      </c>
      <c r="E13" t="s">
        <v>416</v>
      </c>
      <c r="F13" t="s">
        <v>446</v>
      </c>
      <c r="G13" t="s">
        <v>446</v>
      </c>
      <c r="H13" s="6">
        <f>VLOOKUP(A13, '[1]Marini+iDigBio'!$D$2:$J$306, 7, FALSE)</f>
        <v>23945</v>
      </c>
      <c r="I13">
        <v>0</v>
      </c>
      <c r="J13" s="11" t="s">
        <v>854</v>
      </c>
    </row>
    <row r="14" spans="1:10" ht="30" x14ac:dyDescent="0.45">
      <c r="A14" t="s">
        <v>18</v>
      </c>
      <c r="B14" s="8" t="s">
        <v>219</v>
      </c>
      <c r="C14">
        <v>51.486899000000001</v>
      </c>
      <c r="D14">
        <v>11.968051000000001</v>
      </c>
      <c r="E14" t="s">
        <v>412</v>
      </c>
      <c r="F14" t="s">
        <v>446</v>
      </c>
      <c r="G14" t="s">
        <v>446</v>
      </c>
      <c r="H14" s="6">
        <f>VLOOKUP(A14, '[1]Marini+iDigBio'!$D$2:$J$306, 7, FALSE)</f>
        <v>21000</v>
      </c>
      <c r="I14">
        <v>0</v>
      </c>
      <c r="J14" s="11" t="s">
        <v>855</v>
      </c>
    </row>
    <row r="15" spans="1:10" x14ac:dyDescent="0.45">
      <c r="A15" t="s">
        <v>19</v>
      </c>
      <c r="B15" s="8" t="s">
        <v>220</v>
      </c>
      <c r="C15">
        <v>41.866261000000002</v>
      </c>
      <c r="D15">
        <v>-87.616949000000005</v>
      </c>
      <c r="E15" t="s">
        <v>411</v>
      </c>
      <c r="F15" t="s">
        <v>447</v>
      </c>
      <c r="G15" t="s">
        <v>447</v>
      </c>
      <c r="H15" s="6">
        <f>VLOOKUP(A15, '[1]Marini+iDigBio'!$D$2:$J$306, 7, FALSE)</f>
        <v>20947</v>
      </c>
      <c r="I15">
        <v>1</v>
      </c>
      <c r="J15" s="11" t="s">
        <v>671</v>
      </c>
    </row>
    <row r="16" spans="1:10" ht="30" x14ac:dyDescent="0.45">
      <c r="A16" t="s">
        <v>20</v>
      </c>
      <c r="B16" s="8" t="s">
        <v>221</v>
      </c>
      <c r="C16">
        <v>-33.874800999999998</v>
      </c>
      <c r="D16">
        <v>151.21397300000001</v>
      </c>
      <c r="E16" t="s">
        <v>417</v>
      </c>
      <c r="F16" t="s">
        <v>448</v>
      </c>
      <c r="G16" t="s">
        <v>448</v>
      </c>
      <c r="H16" s="6">
        <f>VLOOKUP(A16, '[1]Marini+iDigBio'!$D$2:$J$306, 7, FALSE)</f>
        <v>20000</v>
      </c>
      <c r="I16">
        <v>1</v>
      </c>
      <c r="J16" s="11" t="s">
        <v>672</v>
      </c>
    </row>
    <row r="17" spans="1:10" ht="30" x14ac:dyDescent="0.45">
      <c r="A17" t="s">
        <v>21</v>
      </c>
      <c r="B17" s="8" t="s">
        <v>222</v>
      </c>
      <c r="C17">
        <v>52.266508000000002</v>
      </c>
      <c r="D17">
        <v>10.521477000000001</v>
      </c>
      <c r="E17" t="s">
        <v>412</v>
      </c>
      <c r="F17" t="s">
        <v>446</v>
      </c>
      <c r="G17" t="s">
        <v>446</v>
      </c>
      <c r="H17" s="6">
        <f>VLOOKUP(A17, '[1]Marini+iDigBio'!$D$2:$J$306, 7, FALSE)</f>
        <v>20000</v>
      </c>
      <c r="I17">
        <v>0</v>
      </c>
      <c r="J17" s="11" t="s">
        <v>673</v>
      </c>
    </row>
    <row r="18" spans="1:10" x14ac:dyDescent="0.45">
      <c r="A18" t="s">
        <v>22</v>
      </c>
      <c r="B18" s="8" t="s">
        <v>223</v>
      </c>
      <c r="C18">
        <v>53.566344999999998</v>
      </c>
      <c r="D18">
        <v>9.9785009999999996</v>
      </c>
      <c r="E18" t="s">
        <v>412</v>
      </c>
      <c r="F18" t="s">
        <v>446</v>
      </c>
      <c r="G18" t="s">
        <v>446</v>
      </c>
      <c r="H18" s="6">
        <f>VLOOKUP(A18, '[1]Marini+iDigBio'!$D$2:$J$306, 7, FALSE)</f>
        <v>20000</v>
      </c>
      <c r="I18">
        <v>0</v>
      </c>
      <c r="J18" s="11" t="s">
        <v>856</v>
      </c>
    </row>
    <row r="19" spans="1:10" ht="30" x14ac:dyDescent="0.45">
      <c r="A19" t="s">
        <v>23</v>
      </c>
      <c r="B19" s="8" t="s">
        <v>224</v>
      </c>
      <c r="C19">
        <v>46.194389999999999</v>
      </c>
      <c r="D19">
        <v>6.1527329999999996</v>
      </c>
      <c r="E19" t="s">
        <v>418</v>
      </c>
      <c r="F19" t="s">
        <v>446</v>
      </c>
      <c r="G19" t="s">
        <v>446</v>
      </c>
      <c r="H19" s="6">
        <f>VLOOKUP(A19, '[1]Marini+iDigBio'!$D$2:$J$306, 7, FALSE)</f>
        <v>18562</v>
      </c>
      <c r="I19">
        <v>0</v>
      </c>
      <c r="J19" s="11" t="s">
        <v>857</v>
      </c>
    </row>
    <row r="20" spans="1:10" ht="30" x14ac:dyDescent="0.45">
      <c r="A20" t="s">
        <v>24</v>
      </c>
      <c r="B20" s="8" t="s">
        <v>225</v>
      </c>
      <c r="C20">
        <v>55.703274</v>
      </c>
      <c r="D20">
        <v>12.557520999999999</v>
      </c>
      <c r="E20" t="s">
        <v>419</v>
      </c>
      <c r="F20" t="s">
        <v>446</v>
      </c>
      <c r="G20" t="s">
        <v>446</v>
      </c>
      <c r="H20" s="6">
        <f>VLOOKUP(A20, '[1]Marini+iDigBio'!$D$2:$J$306, 7, FALSE)</f>
        <v>17000</v>
      </c>
      <c r="I20">
        <v>0</v>
      </c>
      <c r="J20" s="11" t="s">
        <v>858</v>
      </c>
    </row>
    <row r="21" spans="1:10" ht="30" x14ac:dyDescent="0.45">
      <c r="A21" t="s">
        <v>25</v>
      </c>
      <c r="B21" s="8" t="s">
        <v>226</v>
      </c>
      <c r="C21">
        <v>40.781323999999998</v>
      </c>
      <c r="D21">
        <v>-73.973988000000006</v>
      </c>
      <c r="E21" t="s">
        <v>411</v>
      </c>
      <c r="F21" t="s">
        <v>447</v>
      </c>
      <c r="G21" t="s">
        <v>447</v>
      </c>
      <c r="H21" s="6">
        <f>VLOOKUP(A21, '[1]Marini+iDigBio'!$D$2:$J$306, 7, FALSE)</f>
        <v>16679</v>
      </c>
      <c r="I21">
        <v>0</v>
      </c>
      <c r="J21" s="11" t="s">
        <v>675</v>
      </c>
    </row>
    <row r="22" spans="1:10" ht="30" x14ac:dyDescent="0.45">
      <c r="A22" t="s">
        <v>26</v>
      </c>
      <c r="B22" s="8" t="s">
        <v>227</v>
      </c>
      <c r="C22">
        <v>51.059699999999999</v>
      </c>
      <c r="D22">
        <v>13.7384</v>
      </c>
      <c r="E22" t="s">
        <v>412</v>
      </c>
      <c r="F22" t="s">
        <v>446</v>
      </c>
      <c r="G22" t="s">
        <v>446</v>
      </c>
      <c r="H22" s="6">
        <f>VLOOKUP(A22, '[1]Marini+iDigBio'!$D$2:$J$306, 7, FALSE)</f>
        <v>15000</v>
      </c>
      <c r="I22">
        <v>0</v>
      </c>
      <c r="J22" s="11" t="s">
        <v>676</v>
      </c>
    </row>
    <row r="23" spans="1:10" x14ac:dyDescent="0.45">
      <c r="A23" t="s">
        <v>27</v>
      </c>
      <c r="B23" s="8" t="s">
        <v>228</v>
      </c>
      <c r="C23">
        <v>53.546100000000003</v>
      </c>
      <c r="D23">
        <v>-113.4937</v>
      </c>
      <c r="E23" t="s">
        <v>420</v>
      </c>
      <c r="F23" t="s">
        <v>447</v>
      </c>
      <c r="G23" t="s">
        <v>447</v>
      </c>
      <c r="H23" s="6">
        <f>VLOOKUP(A23, '[1]Marini+iDigBio'!$D$2:$J$306, 7, FALSE)</f>
        <v>14000</v>
      </c>
      <c r="I23">
        <v>0</v>
      </c>
      <c r="J23" s="11" t="s">
        <v>677</v>
      </c>
    </row>
    <row r="24" spans="1:10" x14ac:dyDescent="0.45">
      <c r="A24" t="s">
        <v>28</v>
      </c>
      <c r="B24" s="8" t="s">
        <v>229</v>
      </c>
      <c r="C24">
        <v>37.872100000000003</v>
      </c>
      <c r="D24">
        <v>-122.2574</v>
      </c>
      <c r="E24" t="s">
        <v>411</v>
      </c>
      <c r="F24" t="s">
        <v>447</v>
      </c>
      <c r="G24" t="s">
        <v>447</v>
      </c>
      <c r="H24" s="6">
        <f>VLOOKUP(A24, '[1]Marini+iDigBio'!$D$2:$J$306, 7, FALSE)</f>
        <v>13700</v>
      </c>
      <c r="I24">
        <v>1</v>
      </c>
      <c r="J24" s="11" t="s">
        <v>678</v>
      </c>
    </row>
    <row r="25" spans="1:10" ht="30" x14ac:dyDescent="0.45">
      <c r="A25" t="s">
        <v>29</v>
      </c>
      <c r="B25" s="8" t="s">
        <v>230</v>
      </c>
      <c r="C25">
        <v>41.3108</v>
      </c>
      <c r="D25">
        <v>-72.927899999999994</v>
      </c>
      <c r="E25" t="s">
        <v>411</v>
      </c>
      <c r="F25" t="s">
        <v>447</v>
      </c>
      <c r="G25" t="s">
        <v>447</v>
      </c>
      <c r="H25" s="6">
        <f>VLOOKUP(A25, '[1]Marini+iDigBio'!$D$2:$J$306, 7, FALSE)</f>
        <v>13374</v>
      </c>
      <c r="I25">
        <v>1</v>
      </c>
      <c r="J25" s="11" t="s">
        <v>679</v>
      </c>
    </row>
    <row r="26" spans="1:10" x14ac:dyDescent="0.45">
      <c r="A26" t="s">
        <v>30</v>
      </c>
      <c r="B26" s="8" t="s">
        <v>231</v>
      </c>
      <c r="C26">
        <v>48.206400000000002</v>
      </c>
      <c r="D26">
        <v>16.357600000000001</v>
      </c>
      <c r="E26" t="s">
        <v>421</v>
      </c>
      <c r="F26" t="s">
        <v>446</v>
      </c>
      <c r="G26" t="s">
        <v>446</v>
      </c>
      <c r="H26" s="6">
        <f>VLOOKUP(A26, '[1]Marini+iDigBio'!$D$2:$J$306, 7, FALSE)</f>
        <v>13000</v>
      </c>
      <c r="I26">
        <v>0</v>
      </c>
      <c r="J26" s="11" t="s">
        <v>680</v>
      </c>
    </row>
    <row r="27" spans="1:10" ht="30" x14ac:dyDescent="0.45">
      <c r="A27" t="s">
        <v>31</v>
      </c>
      <c r="B27" s="8" t="s">
        <v>232</v>
      </c>
      <c r="C27">
        <v>53.409799999999997</v>
      </c>
      <c r="D27">
        <v>-2.9784999999999999</v>
      </c>
      <c r="E27" t="s">
        <v>410</v>
      </c>
      <c r="F27" t="s">
        <v>446</v>
      </c>
      <c r="G27" t="s">
        <v>446</v>
      </c>
      <c r="H27" s="6">
        <f>VLOOKUP(A27, '[1]Marini+iDigBio'!$D$2:$J$306, 7, FALSE)</f>
        <v>12000</v>
      </c>
      <c r="I27">
        <v>0</v>
      </c>
      <c r="J27" s="11" t="s">
        <v>681</v>
      </c>
    </row>
    <row r="28" spans="1:10" x14ac:dyDescent="0.45">
      <c r="A28" t="s">
        <v>32</v>
      </c>
      <c r="B28" s="8" t="s">
        <v>233</v>
      </c>
      <c r="C28">
        <v>51.754815999999998</v>
      </c>
      <c r="D28">
        <v>-1.2582199999999999</v>
      </c>
      <c r="E28" t="s">
        <v>410</v>
      </c>
      <c r="F28" t="s">
        <v>446</v>
      </c>
      <c r="G28" t="s">
        <v>446</v>
      </c>
      <c r="H28" s="6">
        <f>VLOOKUP(A28, '[1]Marini+iDigBio'!$D$2:$J$306, 7, FALSE)</f>
        <v>12000</v>
      </c>
      <c r="I28">
        <v>0</v>
      </c>
      <c r="J28" s="12"/>
    </row>
    <row r="29" spans="1:10" ht="30" x14ac:dyDescent="0.45">
      <c r="A29" t="s">
        <v>33</v>
      </c>
      <c r="B29" s="8" t="s">
        <v>234</v>
      </c>
      <c r="C29">
        <v>44.513300000000001</v>
      </c>
      <c r="D29">
        <v>-87.989400000000003</v>
      </c>
      <c r="E29" t="s">
        <v>411</v>
      </c>
      <c r="F29" t="s">
        <v>447</v>
      </c>
      <c r="G29" t="s">
        <v>447</v>
      </c>
      <c r="H29" s="6">
        <f>VLOOKUP(A29, '[1]Marini+iDigBio'!$D$2:$J$306, 7, FALSE)</f>
        <v>12000</v>
      </c>
      <c r="I29">
        <v>0</v>
      </c>
      <c r="J29" s="11" t="s">
        <v>682</v>
      </c>
    </row>
    <row r="30" spans="1:10" ht="30" x14ac:dyDescent="0.45">
      <c r="A30" t="s">
        <v>34</v>
      </c>
      <c r="B30" s="8" t="s">
        <v>235</v>
      </c>
      <c r="C30">
        <v>52.373399999999997</v>
      </c>
      <c r="D30">
        <v>9.7372999999999994</v>
      </c>
      <c r="E30" t="s">
        <v>412</v>
      </c>
      <c r="F30" t="s">
        <v>446</v>
      </c>
      <c r="G30" t="s">
        <v>446</v>
      </c>
      <c r="H30" s="6">
        <f>VLOOKUP(A30, '[1]Marini+iDigBio'!$D$2:$J$306, 7, FALSE)</f>
        <v>11666.666666666666</v>
      </c>
      <c r="I30">
        <v>0</v>
      </c>
      <c r="J30" s="11" t="s">
        <v>683</v>
      </c>
    </row>
    <row r="31" spans="1:10" ht="30" x14ac:dyDescent="0.45">
      <c r="A31" t="s">
        <v>35</v>
      </c>
      <c r="B31" s="8" t="s">
        <v>236</v>
      </c>
      <c r="C31">
        <v>42.378300000000003</v>
      </c>
      <c r="D31">
        <v>-71.116699999999994</v>
      </c>
      <c r="E31" t="s">
        <v>411</v>
      </c>
      <c r="F31" t="s">
        <v>447</v>
      </c>
      <c r="G31" t="s">
        <v>447</v>
      </c>
      <c r="H31" s="6">
        <f>VLOOKUP(A31, '[1]Marini+iDigBio'!$D$2:$J$306, 7, FALSE)</f>
        <v>11600</v>
      </c>
      <c r="I31">
        <v>1</v>
      </c>
      <c r="J31" s="11" t="s">
        <v>684</v>
      </c>
    </row>
    <row r="32" spans="1:10" ht="30" x14ac:dyDescent="0.45">
      <c r="A32" t="s">
        <v>36</v>
      </c>
      <c r="B32" s="8" t="s">
        <v>237</v>
      </c>
      <c r="C32">
        <v>53.466799999999999</v>
      </c>
      <c r="D32">
        <v>-2.2360000000000002</v>
      </c>
      <c r="E32" t="s">
        <v>410</v>
      </c>
      <c r="F32" t="s">
        <v>446</v>
      </c>
      <c r="G32" t="s">
        <v>446</v>
      </c>
      <c r="H32" s="6">
        <f>VLOOKUP(A32, '[1]Marini+iDigBio'!$D$2:$J$306, 7, FALSE)</f>
        <v>11527</v>
      </c>
      <c r="I32">
        <v>0</v>
      </c>
      <c r="J32" s="11" t="s">
        <v>685</v>
      </c>
    </row>
    <row r="33" spans="1:10" x14ac:dyDescent="0.45">
      <c r="A33" t="s">
        <v>37</v>
      </c>
      <c r="B33" s="8" t="s">
        <v>238</v>
      </c>
      <c r="C33">
        <v>43.667700000000004</v>
      </c>
      <c r="D33">
        <v>-79.394800000000004</v>
      </c>
      <c r="E33" t="s">
        <v>420</v>
      </c>
      <c r="F33" t="s">
        <v>447</v>
      </c>
      <c r="G33" t="s">
        <v>447</v>
      </c>
      <c r="H33" s="6">
        <f>VLOOKUP(A33, '[1]Marini+iDigBio'!$D$2:$J$306, 7, FALSE)</f>
        <v>11304</v>
      </c>
      <c r="I33">
        <v>0</v>
      </c>
      <c r="J33" s="11" t="s">
        <v>686</v>
      </c>
    </row>
    <row r="34" spans="1:10" ht="30" x14ac:dyDescent="0.45">
      <c r="A34" t="s">
        <v>38</v>
      </c>
      <c r="B34" s="8" t="s">
        <v>239</v>
      </c>
      <c r="C34">
        <v>29.636600000000001</v>
      </c>
      <c r="D34">
        <v>-82.351799999999997</v>
      </c>
      <c r="E34" t="s">
        <v>411</v>
      </c>
      <c r="F34" t="s">
        <v>447</v>
      </c>
      <c r="G34" t="s">
        <v>447</v>
      </c>
      <c r="H34" s="6">
        <f>VLOOKUP(A34, '[1]Marini+iDigBio'!$D$2:$J$306, 7, FALSE)</f>
        <v>10400</v>
      </c>
      <c r="I34">
        <v>0</v>
      </c>
      <c r="J34" s="11" t="s">
        <v>687</v>
      </c>
    </row>
    <row r="35" spans="1:10" ht="30" x14ac:dyDescent="0.45">
      <c r="A35" t="s">
        <v>39</v>
      </c>
      <c r="B35" s="8" t="s">
        <v>240</v>
      </c>
      <c r="C35">
        <v>48.78</v>
      </c>
      <c r="D35">
        <v>9.1829000000000001</v>
      </c>
      <c r="E35" t="s">
        <v>412</v>
      </c>
      <c r="F35" t="s">
        <v>446</v>
      </c>
      <c r="G35" t="s">
        <v>446</v>
      </c>
      <c r="H35" s="6">
        <f>VLOOKUP(A35, '[1]Marini+iDigBio'!$D$2:$J$306, 7, FALSE)</f>
        <v>10000</v>
      </c>
      <c r="I35">
        <v>0</v>
      </c>
      <c r="J35" s="11" t="s">
        <v>688</v>
      </c>
    </row>
    <row r="36" spans="1:10" ht="30" x14ac:dyDescent="0.45">
      <c r="A36" t="s">
        <v>40</v>
      </c>
      <c r="B36" s="8" t="s">
        <v>241</v>
      </c>
      <c r="C36">
        <v>51.950800000000001</v>
      </c>
      <c r="D36">
        <v>7.6257000000000001</v>
      </c>
      <c r="E36" t="s">
        <v>412</v>
      </c>
      <c r="F36" t="s">
        <v>446</v>
      </c>
      <c r="G36" t="s">
        <v>446</v>
      </c>
      <c r="H36" s="6">
        <f>VLOOKUP(A36, '[1]Marini+iDigBio'!$D$2:$J$306, 7, FALSE)</f>
        <v>10000</v>
      </c>
      <c r="I36">
        <v>0</v>
      </c>
      <c r="J36" s="11" t="s">
        <v>859</v>
      </c>
    </row>
    <row r="37" spans="1:10" x14ac:dyDescent="0.45">
      <c r="A37" t="s">
        <v>41</v>
      </c>
      <c r="B37" s="8" t="s">
        <v>242</v>
      </c>
      <c r="C37">
        <v>59.936100000000003</v>
      </c>
      <c r="D37">
        <v>30.3141</v>
      </c>
      <c r="E37" t="s">
        <v>422</v>
      </c>
      <c r="F37" t="s">
        <v>449</v>
      </c>
      <c r="G37" t="s">
        <v>653</v>
      </c>
      <c r="H37" s="6">
        <f>VLOOKUP(A37, '[1]Marini+iDigBio'!$D$2:$J$306, 7, FALSE)</f>
        <v>10000</v>
      </c>
      <c r="I37">
        <v>0</v>
      </c>
      <c r="J37" s="11" t="s">
        <v>860</v>
      </c>
    </row>
    <row r="38" spans="1:10" x14ac:dyDescent="0.45">
      <c r="A38" t="s">
        <v>42</v>
      </c>
      <c r="B38" s="8" t="s">
        <v>243</v>
      </c>
      <c r="C38">
        <v>59.941400000000002</v>
      </c>
      <c r="D38">
        <v>10.719099999999999</v>
      </c>
      <c r="E38" t="s">
        <v>423</v>
      </c>
      <c r="F38" t="s">
        <v>446</v>
      </c>
      <c r="G38" t="s">
        <v>446</v>
      </c>
      <c r="H38" s="6">
        <f>VLOOKUP(A38, '[1]Marini+iDigBio'!$D$2:$J$306, 7, FALSE)</f>
        <v>10000</v>
      </c>
      <c r="I38">
        <v>0</v>
      </c>
      <c r="J38" s="11" t="s">
        <v>861</v>
      </c>
    </row>
    <row r="39" spans="1:10" ht="30" x14ac:dyDescent="0.45">
      <c r="A39" t="s">
        <v>43</v>
      </c>
      <c r="B39" s="8" t="s">
        <v>244</v>
      </c>
      <c r="C39">
        <v>55.871299999999998</v>
      </c>
      <c r="D39">
        <v>-4.2884000000000002</v>
      </c>
      <c r="E39" t="s">
        <v>410</v>
      </c>
      <c r="F39" t="s">
        <v>446</v>
      </c>
      <c r="G39" t="s">
        <v>446</v>
      </c>
      <c r="H39" s="6">
        <f>VLOOKUP(A39, '[1]Marini+iDigBio'!$D$2:$J$306, 7, FALSE)</f>
        <v>10000</v>
      </c>
      <c r="I39">
        <v>0</v>
      </c>
      <c r="J39" s="11" t="s">
        <v>689</v>
      </c>
    </row>
    <row r="40" spans="1:10" x14ac:dyDescent="0.45">
      <c r="A40" t="s">
        <v>44</v>
      </c>
      <c r="B40" s="8" t="s">
        <v>245</v>
      </c>
      <c r="C40">
        <v>54.978400000000001</v>
      </c>
      <c r="D40">
        <v>-1.6173999999999999</v>
      </c>
      <c r="E40" t="s">
        <v>410</v>
      </c>
      <c r="F40" t="s">
        <v>446</v>
      </c>
      <c r="G40" t="s">
        <v>446</v>
      </c>
      <c r="H40" s="6">
        <f>VLOOKUP(A40, '[1]Marini+iDigBio'!$D$2:$J$306, 7, FALSE)</f>
        <v>10000</v>
      </c>
      <c r="I40">
        <v>0</v>
      </c>
      <c r="J40" s="11" t="s">
        <v>690</v>
      </c>
    </row>
    <row r="41" spans="1:10" ht="30" x14ac:dyDescent="0.45">
      <c r="A41" t="s">
        <v>45</v>
      </c>
      <c r="B41" s="8" t="s">
        <v>246</v>
      </c>
      <c r="C41">
        <v>50.8371</v>
      </c>
      <c r="D41">
        <v>-0.14660000000000001</v>
      </c>
      <c r="E41" t="s">
        <v>410</v>
      </c>
      <c r="F41" t="s">
        <v>446</v>
      </c>
      <c r="G41" t="s">
        <v>446</v>
      </c>
      <c r="H41" s="6">
        <f>VLOOKUP(A41, '[1]Marini+iDigBio'!$D$2:$J$306, 7, FALSE)</f>
        <v>10000</v>
      </c>
      <c r="I41">
        <v>0</v>
      </c>
      <c r="J41" s="11" t="s">
        <v>862</v>
      </c>
    </row>
    <row r="42" spans="1:10" ht="30" x14ac:dyDescent="0.45">
      <c r="A42" t="s">
        <v>46</v>
      </c>
      <c r="B42" s="8" t="s">
        <v>247</v>
      </c>
      <c r="C42">
        <v>34.438099999999999</v>
      </c>
      <c r="D42">
        <v>-119.71339999999999</v>
      </c>
      <c r="E42" t="s">
        <v>411</v>
      </c>
      <c r="F42" t="s">
        <v>447</v>
      </c>
      <c r="G42" t="s">
        <v>447</v>
      </c>
      <c r="H42" s="6">
        <f>VLOOKUP(A42, '[1]Marini+iDigBio'!$D$2:$J$306, 7, FALSE)</f>
        <v>9998</v>
      </c>
      <c r="I42">
        <v>1</v>
      </c>
      <c r="J42" s="11" t="s">
        <v>691</v>
      </c>
    </row>
    <row r="43" spans="1:10" ht="30" x14ac:dyDescent="0.45">
      <c r="A43" t="s">
        <v>47</v>
      </c>
      <c r="B43" s="8" t="s">
        <v>248</v>
      </c>
      <c r="C43">
        <v>40.4435</v>
      </c>
      <c r="D43">
        <v>-79.950400000000002</v>
      </c>
      <c r="E43" t="s">
        <v>411</v>
      </c>
      <c r="F43" t="s">
        <v>447</v>
      </c>
      <c r="G43" t="s">
        <v>447</v>
      </c>
      <c r="H43" s="6">
        <f>VLOOKUP(A43, '[1]Marini+iDigBio'!$D$2:$J$306, 7, FALSE)</f>
        <v>9930</v>
      </c>
      <c r="I43">
        <v>0</v>
      </c>
      <c r="J43" s="11" t="s">
        <v>863</v>
      </c>
    </row>
    <row r="44" spans="1:10" ht="30" x14ac:dyDescent="0.45">
      <c r="A44" t="s">
        <v>48</v>
      </c>
      <c r="B44" s="8" t="s">
        <v>249</v>
      </c>
      <c r="C44">
        <v>-25.746099999999998</v>
      </c>
      <c r="D44">
        <v>28.188099999999999</v>
      </c>
      <c r="E44" t="s">
        <v>424</v>
      </c>
      <c r="F44" t="s">
        <v>450</v>
      </c>
      <c r="G44" t="s">
        <v>450</v>
      </c>
      <c r="H44" s="6">
        <f>VLOOKUP(A44, '[1]Marini+iDigBio'!$D$2:$J$306, 7, FALSE)</f>
        <v>9221</v>
      </c>
      <c r="I44">
        <v>0</v>
      </c>
      <c r="J44" s="11" t="s">
        <v>692</v>
      </c>
    </row>
    <row r="45" spans="1:10" x14ac:dyDescent="0.45">
      <c r="A45" t="s">
        <v>49</v>
      </c>
      <c r="B45" s="8" t="s">
        <v>250</v>
      </c>
      <c r="C45">
        <v>46.947000000000003</v>
      </c>
      <c r="D45">
        <v>7.4474</v>
      </c>
      <c r="E45" t="s">
        <v>418</v>
      </c>
      <c r="F45" t="s">
        <v>446</v>
      </c>
      <c r="G45" t="s">
        <v>446</v>
      </c>
      <c r="H45" s="6">
        <f>VLOOKUP(A45, '[1]Marini+iDigBio'!$D$2:$J$306, 7, FALSE)</f>
        <v>8955</v>
      </c>
      <c r="I45">
        <v>0</v>
      </c>
      <c r="J45" s="11" t="s">
        <v>693</v>
      </c>
    </row>
    <row r="46" spans="1:10" ht="30" x14ac:dyDescent="0.45">
      <c r="A46" t="s">
        <v>50</v>
      </c>
      <c r="B46" s="8" t="s">
        <v>251</v>
      </c>
      <c r="C46">
        <v>47.218400000000003</v>
      </c>
      <c r="D46">
        <v>-1.5536000000000001</v>
      </c>
      <c r="E46" t="s">
        <v>425</v>
      </c>
      <c r="F46" t="s">
        <v>446</v>
      </c>
      <c r="G46" t="s">
        <v>446</v>
      </c>
      <c r="H46" s="6">
        <f>VLOOKUP(A46, '[1]Marini+iDigBio'!$D$2:$J$306, 7, FALSE)</f>
        <v>8757</v>
      </c>
      <c r="I46">
        <v>0</v>
      </c>
      <c r="J46" s="11" t="s">
        <v>864</v>
      </c>
    </row>
    <row r="47" spans="1:10" ht="30" x14ac:dyDescent="0.45">
      <c r="A47" t="s">
        <v>24</v>
      </c>
      <c r="B47" s="8" t="s">
        <v>225</v>
      </c>
      <c r="C47">
        <v>55.703274</v>
      </c>
      <c r="D47">
        <v>12.557520999999999</v>
      </c>
      <c r="E47" t="s">
        <v>419</v>
      </c>
      <c r="F47" t="s">
        <v>446</v>
      </c>
      <c r="G47" t="s">
        <v>446</v>
      </c>
      <c r="H47" s="6">
        <f>VLOOKUP(A47, '[1]Marini+iDigBio'!$D$2:$J$306, 7, FALSE)</f>
        <v>17000</v>
      </c>
      <c r="I47">
        <v>0</v>
      </c>
      <c r="J47" s="11" t="s">
        <v>858</v>
      </c>
    </row>
    <row r="48" spans="1:10" x14ac:dyDescent="0.45">
      <c r="A48" t="s">
        <v>41</v>
      </c>
      <c r="B48" s="8" t="s">
        <v>252</v>
      </c>
      <c r="C48">
        <v>55.755800000000001</v>
      </c>
      <c r="D48">
        <v>37.6173</v>
      </c>
      <c r="E48" t="s">
        <v>422</v>
      </c>
      <c r="F48" t="s">
        <v>449</v>
      </c>
      <c r="G48" t="s">
        <v>653</v>
      </c>
      <c r="H48" s="6">
        <f>VLOOKUP(A48, '[1]Marini+iDigBio'!$D$2:$J$306, 7, FALSE)</f>
        <v>10000</v>
      </c>
      <c r="I48">
        <v>0</v>
      </c>
      <c r="J48" s="11" t="s">
        <v>865</v>
      </c>
    </row>
    <row r="49" spans="1:10" x14ac:dyDescent="0.45">
      <c r="A49" t="s">
        <v>51</v>
      </c>
      <c r="B49" s="8" t="s">
        <v>253</v>
      </c>
      <c r="C49">
        <v>51.4816</v>
      </c>
      <c r="D49">
        <v>-3.1791</v>
      </c>
      <c r="E49" t="s">
        <v>410</v>
      </c>
      <c r="F49" t="s">
        <v>446</v>
      </c>
      <c r="G49" t="s">
        <v>446</v>
      </c>
      <c r="H49" s="6">
        <f>VLOOKUP(A49, '[1]Marini+iDigBio'!$D$2:$J$306, 7, FALSE)</f>
        <v>8000</v>
      </c>
      <c r="I49">
        <v>0</v>
      </c>
      <c r="J49" s="11" t="s">
        <v>694</v>
      </c>
    </row>
    <row r="50" spans="1:10" x14ac:dyDescent="0.45">
      <c r="A50" t="s">
        <v>52</v>
      </c>
      <c r="B50" s="8" t="s">
        <v>254</v>
      </c>
      <c r="C50">
        <v>52.205300000000001</v>
      </c>
      <c r="D50">
        <v>0.12180000000000001</v>
      </c>
      <c r="E50" t="s">
        <v>410</v>
      </c>
      <c r="F50" t="s">
        <v>446</v>
      </c>
      <c r="G50" t="s">
        <v>446</v>
      </c>
      <c r="H50" s="6">
        <f>VLOOKUP(A50, '[1]Marini+iDigBio'!$D$2:$J$306, 7, FALSE)</f>
        <v>8000</v>
      </c>
      <c r="I50">
        <v>0</v>
      </c>
      <c r="J50" s="11" t="s">
        <v>695</v>
      </c>
    </row>
    <row r="51" spans="1:10" ht="30" x14ac:dyDescent="0.45">
      <c r="A51" t="s">
        <v>53</v>
      </c>
      <c r="B51" s="8" t="s">
        <v>255</v>
      </c>
      <c r="C51">
        <v>-20.159500000000001</v>
      </c>
      <c r="D51">
        <v>28.5823</v>
      </c>
      <c r="E51" t="s">
        <v>426</v>
      </c>
      <c r="F51" t="s">
        <v>449</v>
      </c>
      <c r="G51" t="s">
        <v>449</v>
      </c>
      <c r="H51" s="6">
        <f>VLOOKUP(A51, '[1]Marini+iDigBio'!$D$2:$J$306, 7, FALSE)</f>
        <v>8000</v>
      </c>
      <c r="I51">
        <v>0</v>
      </c>
      <c r="J51" s="11" t="s">
        <v>866</v>
      </c>
    </row>
    <row r="52" spans="1:10" ht="30" x14ac:dyDescent="0.45">
      <c r="A52" t="s">
        <v>54</v>
      </c>
      <c r="B52" s="8" t="s">
        <v>256</v>
      </c>
      <c r="C52">
        <v>37.7699</v>
      </c>
      <c r="D52">
        <v>-122.4661</v>
      </c>
      <c r="E52" t="s">
        <v>411</v>
      </c>
      <c r="F52" t="s">
        <v>447</v>
      </c>
      <c r="G52" t="s">
        <v>447</v>
      </c>
      <c r="H52" s="6">
        <f>VLOOKUP(A52, '[1]Marini+iDigBio'!$D$2:$J$306, 7, FALSE)</f>
        <v>7556</v>
      </c>
      <c r="I52">
        <v>0</v>
      </c>
      <c r="J52" s="11" t="s">
        <v>696</v>
      </c>
    </row>
    <row r="53" spans="1:10" x14ac:dyDescent="0.45">
      <c r="A53" t="s">
        <v>55</v>
      </c>
      <c r="B53" s="8" t="s">
        <v>257</v>
      </c>
      <c r="C53">
        <v>51.895600000000002</v>
      </c>
      <c r="D53">
        <v>11.0572</v>
      </c>
      <c r="E53" t="s">
        <v>412</v>
      </c>
      <c r="F53" t="s">
        <v>446</v>
      </c>
      <c r="G53" t="s">
        <v>446</v>
      </c>
      <c r="H53" s="6">
        <f>VLOOKUP(A53, '[1]Marini+iDigBio'!$D$2:$J$306, 7, FALSE)</f>
        <v>7400</v>
      </c>
      <c r="I53">
        <v>0</v>
      </c>
      <c r="J53" s="11" t="s">
        <v>867</v>
      </c>
    </row>
    <row r="54" spans="1:10" ht="75" x14ac:dyDescent="0.45">
      <c r="A54" t="s">
        <v>56</v>
      </c>
      <c r="B54" s="8" t="s">
        <v>258</v>
      </c>
      <c r="C54">
        <v>51.060200000000002</v>
      </c>
      <c r="D54">
        <v>13.7372</v>
      </c>
      <c r="E54" t="s">
        <v>412</v>
      </c>
      <c r="F54" t="s">
        <v>446</v>
      </c>
      <c r="G54" t="s">
        <v>446</v>
      </c>
      <c r="H54" s="6">
        <f>VLOOKUP(A54, '[1]Marini+iDigBio'!$D$2:$J$306, 7, FALSE)</f>
        <v>7000</v>
      </c>
      <c r="I54">
        <v>0</v>
      </c>
      <c r="J54" s="11" t="s">
        <v>868</v>
      </c>
    </row>
    <row r="55" spans="1:10" x14ac:dyDescent="0.45">
      <c r="A55" t="s">
        <v>57</v>
      </c>
      <c r="B55" s="8" t="s">
        <v>259</v>
      </c>
      <c r="C55">
        <v>-34.921199999999999</v>
      </c>
      <c r="D55">
        <v>138.60589999999999</v>
      </c>
      <c r="E55" t="s">
        <v>417</v>
      </c>
      <c r="F55" t="s">
        <v>448</v>
      </c>
      <c r="G55" t="s">
        <v>448</v>
      </c>
      <c r="H55" s="6">
        <f>VLOOKUP(A55, '[1]Marini+iDigBio'!$D$2:$J$306, 7, FALSE)</f>
        <v>6666.666666666667</v>
      </c>
      <c r="I55">
        <v>1</v>
      </c>
      <c r="J55" s="11" t="s">
        <v>697</v>
      </c>
    </row>
    <row r="56" spans="1:10" x14ac:dyDescent="0.45">
      <c r="A56" t="s">
        <v>58</v>
      </c>
      <c r="B56" s="8" t="s">
        <v>260</v>
      </c>
      <c r="C56">
        <v>-37.803600000000003</v>
      </c>
      <c r="D56">
        <v>144.965</v>
      </c>
      <c r="E56" t="s">
        <v>417</v>
      </c>
      <c r="F56" t="s">
        <v>448</v>
      </c>
      <c r="G56" t="s">
        <v>448</v>
      </c>
      <c r="H56" s="6">
        <f>VLOOKUP(A56, '[1]Marini+iDigBio'!$D$2:$J$306, 7, FALSE)</f>
        <v>6666.666666666667</v>
      </c>
      <c r="I56">
        <v>1</v>
      </c>
      <c r="J56" s="11" t="s">
        <v>698</v>
      </c>
    </row>
    <row r="57" spans="1:10" ht="30" x14ac:dyDescent="0.45">
      <c r="A57" t="s">
        <v>24</v>
      </c>
      <c r="B57" s="8" t="s">
        <v>225</v>
      </c>
      <c r="C57">
        <v>55.703299999999999</v>
      </c>
      <c r="D57">
        <v>12.557499999999999</v>
      </c>
      <c r="E57" t="s">
        <v>419</v>
      </c>
      <c r="F57" t="s">
        <v>446</v>
      </c>
      <c r="G57" t="s">
        <v>446</v>
      </c>
      <c r="H57" s="6">
        <f>VLOOKUP(A57, '[1]Marini+iDigBio'!$D$2:$J$306, 7, FALSE)</f>
        <v>17000</v>
      </c>
      <c r="I57">
        <v>0</v>
      </c>
      <c r="J57" s="11" t="s">
        <v>858</v>
      </c>
    </row>
    <row r="58" spans="1:10" x14ac:dyDescent="0.45">
      <c r="A58" t="s">
        <v>59</v>
      </c>
      <c r="B58" s="8" t="s">
        <v>261</v>
      </c>
      <c r="C58">
        <v>42.373199999999997</v>
      </c>
      <c r="D58">
        <v>-72.519900000000007</v>
      </c>
      <c r="E58" t="s">
        <v>411</v>
      </c>
      <c r="F58" t="s">
        <v>447</v>
      </c>
      <c r="G58" t="s">
        <v>447</v>
      </c>
      <c r="H58" s="6">
        <f>VLOOKUP(A58, '[1]Marini+iDigBio'!$D$2:$J$306, 7, FALSE)</f>
        <v>6101</v>
      </c>
      <c r="I58">
        <v>0</v>
      </c>
      <c r="J58" s="11" t="s">
        <v>699</v>
      </c>
    </row>
    <row r="59" spans="1:10" x14ac:dyDescent="0.45">
      <c r="A59" t="s">
        <v>60</v>
      </c>
      <c r="B59" s="8" t="s">
        <v>262</v>
      </c>
      <c r="C59">
        <v>54.314100000000003</v>
      </c>
      <c r="D59">
        <v>13.0846</v>
      </c>
      <c r="E59" t="s">
        <v>412</v>
      </c>
      <c r="F59" t="s">
        <v>446</v>
      </c>
      <c r="G59" t="s">
        <v>446</v>
      </c>
      <c r="H59" s="6">
        <f>VLOOKUP(A59, '[1]Marini+iDigBio'!$D$2:$J$306, 7, FALSE)</f>
        <v>6000</v>
      </c>
      <c r="I59">
        <v>0</v>
      </c>
      <c r="J59" s="11" t="s">
        <v>700</v>
      </c>
    </row>
    <row r="60" spans="1:10" x14ac:dyDescent="0.45">
      <c r="A60" t="s">
        <v>61</v>
      </c>
      <c r="B60" s="8" t="s">
        <v>263</v>
      </c>
      <c r="C60">
        <v>42.649000000000001</v>
      </c>
      <c r="D60">
        <v>-73.759600000000006</v>
      </c>
      <c r="E60" t="s">
        <v>411</v>
      </c>
      <c r="F60" t="s">
        <v>447</v>
      </c>
      <c r="G60" t="s">
        <v>447</v>
      </c>
      <c r="H60" s="6">
        <f>VLOOKUP(A60, '[1]Marini+iDigBio'!$D$2:$J$306, 7, FALSE)</f>
        <v>6000</v>
      </c>
      <c r="I60">
        <v>0</v>
      </c>
      <c r="J60" s="11" t="s">
        <v>701</v>
      </c>
    </row>
    <row r="61" spans="1:10" x14ac:dyDescent="0.45">
      <c r="A61" t="s">
        <v>62</v>
      </c>
      <c r="B61" s="8" t="s">
        <v>264</v>
      </c>
      <c r="C61">
        <v>53.578499999999998</v>
      </c>
      <c r="D61">
        <v>-2.4291999999999998</v>
      </c>
      <c r="E61" t="s">
        <v>410</v>
      </c>
      <c r="F61" t="s">
        <v>446</v>
      </c>
      <c r="G61" t="s">
        <v>446</v>
      </c>
      <c r="H61" s="6">
        <f>VLOOKUP(A61, '[1]Marini+iDigBio'!$D$2:$J$306, 7, FALSE)</f>
        <v>5500</v>
      </c>
      <c r="I61">
        <v>0</v>
      </c>
      <c r="J61" s="11" t="s">
        <v>702</v>
      </c>
    </row>
    <row r="62" spans="1:10" x14ac:dyDescent="0.45">
      <c r="A62" t="s">
        <v>63</v>
      </c>
      <c r="B62" s="8" t="s">
        <v>265</v>
      </c>
      <c r="C62">
        <v>34.683399999999999</v>
      </c>
      <c r="D62">
        <v>-82.837400000000002</v>
      </c>
      <c r="E62" t="s">
        <v>411</v>
      </c>
      <c r="F62" t="s">
        <v>447</v>
      </c>
      <c r="G62" t="s">
        <v>447</v>
      </c>
      <c r="H62" s="6">
        <f>VLOOKUP(A62, '[1]Marini+iDigBio'!$D$2:$J$306, 7, FALSE)</f>
        <v>5366</v>
      </c>
      <c r="I62">
        <v>0</v>
      </c>
      <c r="J62" s="11" t="s">
        <v>703</v>
      </c>
    </row>
    <row r="63" spans="1:10" ht="30" x14ac:dyDescent="0.45">
      <c r="A63" t="s">
        <v>64</v>
      </c>
      <c r="B63" s="8" t="s">
        <v>266</v>
      </c>
      <c r="C63">
        <v>51.339700000000001</v>
      </c>
      <c r="D63">
        <v>12.373100000000001</v>
      </c>
      <c r="E63" t="s">
        <v>412</v>
      </c>
      <c r="F63" t="s">
        <v>446</v>
      </c>
      <c r="G63" t="s">
        <v>446</v>
      </c>
      <c r="H63" s="6">
        <f>VLOOKUP(A63, '[1]Marini+iDigBio'!$D$2:$J$306, 7, FALSE)</f>
        <v>5073</v>
      </c>
      <c r="I63">
        <v>0</v>
      </c>
      <c r="J63" s="11" t="s">
        <v>704</v>
      </c>
    </row>
    <row r="64" spans="1:10" ht="30" x14ac:dyDescent="0.45">
      <c r="A64" t="s">
        <v>65</v>
      </c>
      <c r="B64" s="8" t="s">
        <v>267</v>
      </c>
      <c r="C64">
        <v>50.116700000000002</v>
      </c>
      <c r="D64">
        <v>8.6821000000000002</v>
      </c>
      <c r="E64" t="s">
        <v>412</v>
      </c>
      <c r="F64" t="s">
        <v>446</v>
      </c>
      <c r="G64" t="s">
        <v>446</v>
      </c>
      <c r="H64" s="6">
        <f>VLOOKUP(A64, '[1]Marini+iDigBio'!$D$2:$J$306, 7, FALSE)</f>
        <v>5050</v>
      </c>
      <c r="I64">
        <v>0</v>
      </c>
      <c r="J64" s="11" t="s">
        <v>676</v>
      </c>
    </row>
    <row r="65" spans="1:10" x14ac:dyDescent="0.45">
      <c r="A65" t="s">
        <v>66</v>
      </c>
      <c r="B65" s="8" t="s">
        <v>268</v>
      </c>
      <c r="C65">
        <v>50.075499999999998</v>
      </c>
      <c r="D65">
        <v>14.437799999999999</v>
      </c>
      <c r="E65" t="s">
        <v>427</v>
      </c>
      <c r="F65" t="s">
        <v>446</v>
      </c>
      <c r="G65" t="s">
        <v>446</v>
      </c>
      <c r="H65" s="6">
        <f>VLOOKUP(A65, '[1]Marini+iDigBio'!$D$2:$J$306, 7, FALSE)</f>
        <v>5000</v>
      </c>
      <c r="I65">
        <v>0</v>
      </c>
      <c r="J65" s="11" t="s">
        <v>705</v>
      </c>
    </row>
    <row r="66" spans="1:10" x14ac:dyDescent="0.45">
      <c r="A66" t="s">
        <v>67</v>
      </c>
      <c r="B66" s="8" t="s">
        <v>269</v>
      </c>
      <c r="C66">
        <v>48.843000000000004</v>
      </c>
      <c r="D66">
        <v>2.3574000000000002</v>
      </c>
      <c r="E66" t="s">
        <v>425</v>
      </c>
      <c r="F66" t="s">
        <v>446</v>
      </c>
      <c r="G66" t="s">
        <v>446</v>
      </c>
      <c r="H66" s="6">
        <f>VLOOKUP(A66, '[1]Marini+iDigBio'!$D$2:$J$306, 7, FALSE)</f>
        <v>5000</v>
      </c>
      <c r="I66">
        <v>0</v>
      </c>
      <c r="J66" s="11" t="s">
        <v>706</v>
      </c>
    </row>
    <row r="67" spans="1:10" ht="30" x14ac:dyDescent="0.45">
      <c r="A67" t="s">
        <v>68</v>
      </c>
      <c r="B67" s="8" t="s">
        <v>270</v>
      </c>
      <c r="C67">
        <v>52.356999999999999</v>
      </c>
      <c r="D67">
        <v>4.9123000000000001</v>
      </c>
      <c r="E67" t="s">
        <v>413</v>
      </c>
      <c r="F67" t="s">
        <v>446</v>
      </c>
      <c r="G67" t="s">
        <v>446</v>
      </c>
      <c r="H67" s="6">
        <f>VLOOKUP(A67, '[1]Marini+iDigBio'!$D$2:$J$306, 7, FALSE)</f>
        <v>5000</v>
      </c>
      <c r="I67">
        <v>0</v>
      </c>
      <c r="J67" s="11" t="s">
        <v>869</v>
      </c>
    </row>
    <row r="68" spans="1:10" x14ac:dyDescent="0.45">
      <c r="A68" t="s">
        <v>69</v>
      </c>
      <c r="B68" s="8" t="s">
        <v>271</v>
      </c>
      <c r="C68">
        <v>51.456400000000002</v>
      </c>
      <c r="D68">
        <v>-1.0016</v>
      </c>
      <c r="E68" t="s">
        <v>410</v>
      </c>
      <c r="F68" t="s">
        <v>446</v>
      </c>
      <c r="G68" t="s">
        <v>446</v>
      </c>
      <c r="H68" s="6">
        <f>VLOOKUP(A68, '[1]Marini+iDigBio'!$D$2:$J$306, 7, FALSE)</f>
        <v>5000</v>
      </c>
      <c r="I68">
        <v>0</v>
      </c>
      <c r="J68" s="11" t="s">
        <v>707</v>
      </c>
    </row>
    <row r="69" spans="1:10" ht="60" x14ac:dyDescent="0.45">
      <c r="A69" t="s">
        <v>70</v>
      </c>
      <c r="B69" s="8" t="s">
        <v>272</v>
      </c>
      <c r="C69">
        <v>53.567500000000003</v>
      </c>
      <c r="D69">
        <v>9.9700000000000006</v>
      </c>
      <c r="E69" t="s">
        <v>412</v>
      </c>
      <c r="F69" t="s">
        <v>446</v>
      </c>
      <c r="G69" t="s">
        <v>446</v>
      </c>
      <c r="H69" s="6">
        <f>VLOOKUP(A69, '[1]Marini+iDigBio'!$D$2:$J$306, 7, FALSE)</f>
        <v>4737.333333333333</v>
      </c>
      <c r="I69">
        <v>0</v>
      </c>
      <c r="J69" s="11" t="s">
        <v>708</v>
      </c>
    </row>
    <row r="70" spans="1:10" ht="30" x14ac:dyDescent="0.45">
      <c r="A70" t="s">
        <v>71</v>
      </c>
      <c r="B70" s="8" t="s">
        <v>273</v>
      </c>
      <c r="C70">
        <v>52.398499999999999</v>
      </c>
      <c r="D70">
        <v>13.0655</v>
      </c>
      <c r="E70" t="s">
        <v>412</v>
      </c>
      <c r="F70" t="s">
        <v>446</v>
      </c>
      <c r="G70" t="s">
        <v>446</v>
      </c>
      <c r="H70" s="6">
        <f>VLOOKUP(A70, '[1]Marini+iDigBio'!$D$2:$J$306, 7, FALSE)</f>
        <v>4666.666666666667</v>
      </c>
      <c r="I70">
        <v>0</v>
      </c>
      <c r="J70" s="11" t="s">
        <v>870</v>
      </c>
    </row>
    <row r="71" spans="1:10" ht="30" x14ac:dyDescent="0.45">
      <c r="A71" t="s">
        <v>72</v>
      </c>
      <c r="B71" s="8" t="s">
        <v>274</v>
      </c>
      <c r="C71">
        <v>47.655000000000001</v>
      </c>
      <c r="D71">
        <v>-122.30540000000001</v>
      </c>
      <c r="E71" t="s">
        <v>411</v>
      </c>
      <c r="F71" t="s">
        <v>447</v>
      </c>
      <c r="G71" t="s">
        <v>447</v>
      </c>
      <c r="H71" s="6">
        <f>VLOOKUP(A71, '[1]Marini+iDigBio'!$D$2:$J$306, 7, FALSE)</f>
        <v>4634</v>
      </c>
      <c r="I71">
        <v>0</v>
      </c>
      <c r="J71" s="11" t="s">
        <v>709</v>
      </c>
    </row>
    <row r="72" spans="1:10" ht="30" x14ac:dyDescent="0.45">
      <c r="A72" t="s">
        <v>73</v>
      </c>
      <c r="B72" s="8" t="s">
        <v>275</v>
      </c>
      <c r="C72">
        <v>4.71</v>
      </c>
      <c r="D72">
        <v>-74.072100000000006</v>
      </c>
      <c r="E72" t="s">
        <v>428</v>
      </c>
      <c r="F72" t="s">
        <v>449</v>
      </c>
      <c r="G72" t="s">
        <v>449</v>
      </c>
      <c r="H72" s="6">
        <f>VLOOKUP(A72, '[1]Marini+iDigBio'!$D$2:$J$306, 7, FALSE)</f>
        <v>4600</v>
      </c>
      <c r="I72">
        <v>0</v>
      </c>
      <c r="J72" s="11" t="s">
        <v>710</v>
      </c>
    </row>
    <row r="73" spans="1:10" ht="30" x14ac:dyDescent="0.45">
      <c r="A73" t="s">
        <v>74</v>
      </c>
      <c r="B73" s="8" t="s">
        <v>276</v>
      </c>
      <c r="C73">
        <v>47.252899999999997</v>
      </c>
      <c r="D73">
        <v>-122.4443</v>
      </c>
      <c r="E73" t="s">
        <v>411</v>
      </c>
      <c r="F73" t="s">
        <v>447</v>
      </c>
      <c r="G73" t="s">
        <v>447</v>
      </c>
      <c r="H73" s="6">
        <f>VLOOKUP(A73, '[1]Marini+iDigBio'!$D$2:$J$306, 7, FALSE)</f>
        <v>4600</v>
      </c>
      <c r="I73">
        <v>0</v>
      </c>
      <c r="J73" s="11" t="s">
        <v>711</v>
      </c>
    </row>
    <row r="74" spans="1:10" ht="30" x14ac:dyDescent="0.45">
      <c r="A74" t="s">
        <v>75</v>
      </c>
      <c r="B74" s="8" t="s">
        <v>277</v>
      </c>
      <c r="C74">
        <v>50.684199999999997</v>
      </c>
      <c r="D74">
        <v>11.3384</v>
      </c>
      <c r="E74" t="s">
        <v>412</v>
      </c>
      <c r="F74" t="s">
        <v>446</v>
      </c>
      <c r="G74" t="s">
        <v>446</v>
      </c>
      <c r="H74" s="6">
        <f>VLOOKUP(A74, '[1]Marini+iDigBio'!$D$2:$J$306, 7, FALSE)</f>
        <v>4500</v>
      </c>
      <c r="I74">
        <v>0</v>
      </c>
      <c r="J74" s="11" t="s">
        <v>712</v>
      </c>
    </row>
    <row r="75" spans="1:10" ht="30" x14ac:dyDescent="0.45">
      <c r="A75" t="s">
        <v>76</v>
      </c>
      <c r="B75" s="8" t="s">
        <v>278</v>
      </c>
      <c r="C75">
        <v>39.799999999999997</v>
      </c>
      <c r="D75">
        <v>-89.643500000000003</v>
      </c>
      <c r="E75" t="s">
        <v>411</v>
      </c>
      <c r="F75" t="s">
        <v>447</v>
      </c>
      <c r="G75" t="s">
        <v>447</v>
      </c>
      <c r="H75" s="6">
        <f>VLOOKUP(A75, '[1]Marini+iDigBio'!$D$2:$J$306, 7, FALSE)</f>
        <v>4500</v>
      </c>
      <c r="I75">
        <v>0</v>
      </c>
      <c r="J75" s="11" t="s">
        <v>713</v>
      </c>
    </row>
    <row r="76" spans="1:10" x14ac:dyDescent="0.45">
      <c r="A76" t="s">
        <v>77</v>
      </c>
      <c r="B76" s="8" t="s">
        <v>279</v>
      </c>
      <c r="C76">
        <v>40.002000000000002</v>
      </c>
      <c r="D76">
        <v>-83.019800000000004</v>
      </c>
      <c r="E76" t="s">
        <v>411</v>
      </c>
      <c r="F76" t="s">
        <v>447</v>
      </c>
      <c r="G76" t="s">
        <v>447</v>
      </c>
      <c r="H76" s="6">
        <f>VLOOKUP(A76, '[1]Marini+iDigBio'!$D$2:$J$306, 7, FALSE)</f>
        <v>4475</v>
      </c>
      <c r="I76">
        <v>0</v>
      </c>
      <c r="J76" s="11" t="s">
        <v>871</v>
      </c>
    </row>
    <row r="77" spans="1:10" ht="30" x14ac:dyDescent="0.45">
      <c r="A77" t="s">
        <v>78</v>
      </c>
      <c r="B77" s="8" t="s">
        <v>280</v>
      </c>
      <c r="C77">
        <v>39.747799999999998</v>
      </c>
      <c r="D77">
        <v>-104.94240000000001</v>
      </c>
      <c r="E77" t="s">
        <v>411</v>
      </c>
      <c r="F77" t="s">
        <v>447</v>
      </c>
      <c r="G77" t="s">
        <v>447</v>
      </c>
      <c r="H77" s="6">
        <f>VLOOKUP(A77, '[1]Marini+iDigBio'!$D$2:$J$306, 7, FALSE)</f>
        <v>4467</v>
      </c>
      <c r="I77">
        <v>0</v>
      </c>
      <c r="J77" s="11" t="s">
        <v>714</v>
      </c>
    </row>
    <row r="78" spans="1:10" ht="30" x14ac:dyDescent="0.45">
      <c r="A78" t="s">
        <v>79</v>
      </c>
      <c r="B78" s="8" t="s">
        <v>281</v>
      </c>
      <c r="C78">
        <v>-35.277700000000003</v>
      </c>
      <c r="D78">
        <v>149.12440000000001</v>
      </c>
      <c r="E78" t="s">
        <v>417</v>
      </c>
      <c r="F78" t="s">
        <v>448</v>
      </c>
      <c r="G78" t="s">
        <v>448</v>
      </c>
      <c r="H78" s="6">
        <v>23288</v>
      </c>
      <c r="I78">
        <v>1</v>
      </c>
      <c r="J78" s="11" t="s">
        <v>715</v>
      </c>
    </row>
    <row r="79" spans="1:10" ht="30" x14ac:dyDescent="0.45">
      <c r="A79" t="s">
        <v>80</v>
      </c>
      <c r="B79" s="8" t="s">
        <v>282</v>
      </c>
      <c r="C79">
        <v>42.276200000000003</v>
      </c>
      <c r="D79">
        <v>-83.738200000000006</v>
      </c>
      <c r="E79" t="s">
        <v>411</v>
      </c>
      <c r="F79" t="s">
        <v>447</v>
      </c>
      <c r="G79" t="s">
        <v>447</v>
      </c>
      <c r="H79" s="6">
        <f>VLOOKUP(A79, '[1]Marini+iDigBio'!$D$2:$J$306, 7, FALSE)</f>
        <v>4250</v>
      </c>
      <c r="I79">
        <v>0</v>
      </c>
      <c r="J79" s="11" t="s">
        <v>716</v>
      </c>
    </row>
    <row r="80" spans="1:10" x14ac:dyDescent="0.45">
      <c r="A80" t="s">
        <v>81</v>
      </c>
      <c r="B80" s="8" t="s">
        <v>283</v>
      </c>
      <c r="C80">
        <v>53.514000000000003</v>
      </c>
      <c r="D80">
        <v>12.685600000000001</v>
      </c>
      <c r="E80" t="s">
        <v>412</v>
      </c>
      <c r="F80" t="s">
        <v>446</v>
      </c>
      <c r="G80" t="s">
        <v>446</v>
      </c>
      <c r="H80" s="6">
        <f>VLOOKUP(A80, '[1]Marini+iDigBio'!$D$2:$J$306, 7, FALSE)</f>
        <v>4115</v>
      </c>
      <c r="I80">
        <v>0</v>
      </c>
      <c r="J80" s="11" t="s">
        <v>717</v>
      </c>
    </row>
    <row r="81" spans="1:10" x14ac:dyDescent="0.45">
      <c r="A81" t="s">
        <v>82</v>
      </c>
      <c r="B81" s="8" t="s">
        <v>284</v>
      </c>
      <c r="C81">
        <v>45.417000000000002</v>
      </c>
      <c r="D81">
        <v>-75.690299999999993</v>
      </c>
      <c r="E81" t="s">
        <v>420</v>
      </c>
      <c r="F81" t="s">
        <v>447</v>
      </c>
      <c r="G81" t="s">
        <v>447</v>
      </c>
      <c r="H81" s="6">
        <f>VLOOKUP(A81, '[1]Marini+iDigBio'!$D$2:$J$306, 7, FALSE)</f>
        <v>4025</v>
      </c>
      <c r="I81">
        <v>0</v>
      </c>
      <c r="J81" s="11" t="s">
        <v>872</v>
      </c>
    </row>
    <row r="82" spans="1:10" x14ac:dyDescent="0.45">
      <c r="A82" t="s">
        <v>83</v>
      </c>
      <c r="B82" s="8" t="s">
        <v>285</v>
      </c>
      <c r="C82">
        <v>37.774900000000002</v>
      </c>
      <c r="D82">
        <v>-122.4194</v>
      </c>
      <c r="E82" t="s">
        <v>411</v>
      </c>
      <c r="F82" t="s">
        <v>447</v>
      </c>
      <c r="G82" t="s">
        <v>447</v>
      </c>
      <c r="H82" s="6">
        <f>VLOOKUP(A82, '[1]Marini+iDigBio'!$D$2:$J$306, 7, FALSE)</f>
        <v>3890</v>
      </c>
      <c r="I82">
        <v>0</v>
      </c>
      <c r="J82" s="12"/>
    </row>
    <row r="83" spans="1:10" x14ac:dyDescent="0.45">
      <c r="A83" t="s">
        <v>84</v>
      </c>
      <c r="B83" s="8" t="s">
        <v>286</v>
      </c>
      <c r="C83">
        <v>32.7836</v>
      </c>
      <c r="D83">
        <v>-79.935000000000002</v>
      </c>
      <c r="E83" t="s">
        <v>411</v>
      </c>
      <c r="F83" t="s">
        <v>447</v>
      </c>
      <c r="G83" t="s">
        <v>447</v>
      </c>
      <c r="H83" s="6">
        <f>VLOOKUP(A83, '[1]Marini+iDigBio'!$D$2:$J$306, 7, FALSE)</f>
        <v>3882</v>
      </c>
      <c r="I83">
        <v>0</v>
      </c>
      <c r="J83" s="11" t="s">
        <v>718</v>
      </c>
    </row>
    <row r="84" spans="1:10" ht="45" x14ac:dyDescent="0.45">
      <c r="A84" t="s">
        <v>85</v>
      </c>
      <c r="B84" s="8" t="s">
        <v>287</v>
      </c>
      <c r="C84">
        <v>35.2072</v>
      </c>
      <c r="D84">
        <v>-97.444800000000001</v>
      </c>
      <c r="E84" t="s">
        <v>411</v>
      </c>
      <c r="F84" t="s">
        <v>447</v>
      </c>
      <c r="G84" t="s">
        <v>447</v>
      </c>
      <c r="H84" s="6">
        <f>VLOOKUP(A84, '[1]Marini+iDigBio'!$D$2:$J$306, 7, FALSE)</f>
        <v>3800</v>
      </c>
      <c r="I84">
        <v>0</v>
      </c>
      <c r="J84" s="11" t="s">
        <v>719</v>
      </c>
    </row>
    <row r="85" spans="1:10" ht="45" x14ac:dyDescent="0.45">
      <c r="A85" t="s">
        <v>86</v>
      </c>
      <c r="B85" s="8" t="s">
        <v>288</v>
      </c>
      <c r="C85">
        <v>48.306899999999999</v>
      </c>
      <c r="D85">
        <v>14.2858</v>
      </c>
      <c r="E85" t="s">
        <v>421</v>
      </c>
      <c r="F85" t="s">
        <v>446</v>
      </c>
      <c r="G85" t="s">
        <v>446</v>
      </c>
      <c r="H85" s="6">
        <f>VLOOKUP(A85, '[1]Marini+iDigBio'!$D$2:$J$306, 7, FALSE)</f>
        <v>3500</v>
      </c>
      <c r="I85">
        <v>0</v>
      </c>
      <c r="J85" s="11" t="s">
        <v>873</v>
      </c>
    </row>
    <row r="86" spans="1:10" x14ac:dyDescent="0.45">
      <c r="A86" t="s">
        <v>87</v>
      </c>
      <c r="B86" s="8" t="s">
        <v>289</v>
      </c>
      <c r="C86">
        <v>54.895099999999999</v>
      </c>
      <c r="D86">
        <v>-2.9346000000000001</v>
      </c>
      <c r="E86" t="s">
        <v>410</v>
      </c>
      <c r="F86" t="s">
        <v>446</v>
      </c>
      <c r="G86" t="s">
        <v>446</v>
      </c>
      <c r="H86" s="6">
        <f>VLOOKUP(A86, '[1]Marini+iDigBio'!$D$2:$J$306, 7, FALSE)</f>
        <v>3500</v>
      </c>
      <c r="I86">
        <v>0</v>
      </c>
      <c r="J86" s="11" t="s">
        <v>720</v>
      </c>
    </row>
    <row r="87" spans="1:10" x14ac:dyDescent="0.45">
      <c r="A87" t="s">
        <v>88</v>
      </c>
      <c r="B87" s="8" t="s">
        <v>290</v>
      </c>
      <c r="C87">
        <v>28.0303</v>
      </c>
      <c r="D87">
        <v>-97.529499999999999</v>
      </c>
      <c r="E87" t="s">
        <v>411</v>
      </c>
      <c r="F87" t="s">
        <v>447</v>
      </c>
      <c r="G87" t="s">
        <v>447</v>
      </c>
      <c r="H87" s="6">
        <f>VLOOKUP(A87, '[1]Marini+iDigBio'!$D$2:$J$306, 7, FALSE)</f>
        <v>3310</v>
      </c>
      <c r="I87">
        <v>0</v>
      </c>
      <c r="J87" s="11" t="s">
        <v>721</v>
      </c>
    </row>
    <row r="88" spans="1:10" x14ac:dyDescent="0.45">
      <c r="A88" t="s">
        <v>89</v>
      </c>
      <c r="B88" s="8" t="s">
        <v>291</v>
      </c>
      <c r="C88">
        <v>53.075800000000001</v>
      </c>
      <c r="D88">
        <v>8.8076000000000008</v>
      </c>
      <c r="E88" t="s">
        <v>412</v>
      </c>
      <c r="F88" t="s">
        <v>446</v>
      </c>
      <c r="G88" t="s">
        <v>446</v>
      </c>
      <c r="H88" s="6">
        <f>VLOOKUP(A88, '[1]Marini+iDigBio'!$D$2:$J$306, 7, FALSE)</f>
        <v>3200</v>
      </c>
      <c r="I88">
        <v>0</v>
      </c>
      <c r="J88" s="11" t="s">
        <v>722</v>
      </c>
    </row>
    <row r="89" spans="1:10" x14ac:dyDescent="0.45">
      <c r="A89" t="s">
        <v>90</v>
      </c>
      <c r="B89" s="8" t="s">
        <v>292</v>
      </c>
      <c r="C89">
        <v>52.408099999999997</v>
      </c>
      <c r="D89">
        <v>-1.5103</v>
      </c>
      <c r="E89" t="s">
        <v>410</v>
      </c>
      <c r="F89" t="s">
        <v>446</v>
      </c>
      <c r="G89" t="s">
        <v>446</v>
      </c>
      <c r="H89" s="6">
        <f>VLOOKUP(A89, '[1]Marini+iDigBio'!$D$2:$J$306, 7, FALSE)</f>
        <v>3166.6666666666665</v>
      </c>
      <c r="I89">
        <v>0</v>
      </c>
      <c r="J89" s="11" t="s">
        <v>723</v>
      </c>
    </row>
    <row r="90" spans="1:10" x14ac:dyDescent="0.45">
      <c r="A90" t="s">
        <v>91</v>
      </c>
      <c r="B90" s="8" t="s">
        <v>293</v>
      </c>
      <c r="C90">
        <v>50.075499999999998</v>
      </c>
      <c r="D90">
        <v>14.437799999999999</v>
      </c>
      <c r="E90" t="s">
        <v>427</v>
      </c>
      <c r="F90" t="s">
        <v>446</v>
      </c>
      <c r="G90" t="s">
        <v>446</v>
      </c>
      <c r="H90" s="6">
        <f>VLOOKUP(A90, '[1]Marini+iDigBio'!$D$2:$J$306, 7, FALSE)</f>
        <v>3090</v>
      </c>
      <c r="I90">
        <v>0</v>
      </c>
      <c r="J90" s="11" t="s">
        <v>874</v>
      </c>
    </row>
    <row r="91" spans="1:10" x14ac:dyDescent="0.45">
      <c r="A91" t="s">
        <v>92</v>
      </c>
      <c r="B91" s="8" t="s">
        <v>294</v>
      </c>
      <c r="C91">
        <v>58.377600000000001</v>
      </c>
      <c r="D91">
        <v>26.728899999999999</v>
      </c>
      <c r="E91" t="s">
        <v>429</v>
      </c>
      <c r="F91" t="s">
        <v>449</v>
      </c>
      <c r="G91" t="s">
        <v>449</v>
      </c>
      <c r="H91" s="6">
        <f>VLOOKUP(A91, '[1]Marini+iDigBio'!$D$2:$J$306, 7, FALSE)</f>
        <v>3000</v>
      </c>
      <c r="I91">
        <v>0</v>
      </c>
      <c r="J91" s="11" t="s">
        <v>875</v>
      </c>
    </row>
    <row r="92" spans="1:10" ht="30" x14ac:dyDescent="0.45">
      <c r="A92" t="s">
        <v>93</v>
      </c>
      <c r="B92" s="8" t="s">
        <v>295</v>
      </c>
      <c r="C92">
        <v>50.2622</v>
      </c>
      <c r="D92">
        <v>10.963699999999999</v>
      </c>
      <c r="E92" t="s">
        <v>412</v>
      </c>
      <c r="F92" t="s">
        <v>446</v>
      </c>
      <c r="G92" t="s">
        <v>446</v>
      </c>
      <c r="H92" s="6">
        <f>VLOOKUP(A92, '[1]Marini+iDigBio'!$D$2:$J$306, 7, FALSE)</f>
        <v>3000</v>
      </c>
      <c r="I92">
        <v>0</v>
      </c>
      <c r="J92" s="11" t="s">
        <v>724</v>
      </c>
    </row>
    <row r="93" spans="1:10" ht="30" x14ac:dyDescent="0.45">
      <c r="A93" t="s">
        <v>94</v>
      </c>
      <c r="B93" s="8" t="s">
        <v>296</v>
      </c>
      <c r="C93">
        <v>53.801200000000001</v>
      </c>
      <c r="D93">
        <v>-1.5486</v>
      </c>
      <c r="E93" t="s">
        <v>410</v>
      </c>
      <c r="F93" t="s">
        <v>446</v>
      </c>
      <c r="G93" t="s">
        <v>446</v>
      </c>
      <c r="H93" s="6">
        <f>VLOOKUP(A93, '[1]Marini+iDigBio'!$D$2:$J$306, 7, FALSE)</f>
        <v>3000</v>
      </c>
      <c r="I93">
        <v>0</v>
      </c>
      <c r="J93" s="11" t="s">
        <v>725</v>
      </c>
    </row>
    <row r="94" spans="1:10" ht="45" x14ac:dyDescent="0.45">
      <c r="A94" t="s">
        <v>95</v>
      </c>
      <c r="B94" s="8" t="s">
        <v>297</v>
      </c>
      <c r="C94">
        <v>50.064700000000002</v>
      </c>
      <c r="D94">
        <v>19.944500000000001</v>
      </c>
      <c r="E94" t="s">
        <v>430</v>
      </c>
      <c r="F94" t="s">
        <v>446</v>
      </c>
      <c r="G94" t="s">
        <v>446</v>
      </c>
      <c r="H94" s="6">
        <f>VLOOKUP(A94, '[1]Marini+iDigBio'!$D$2:$J$306, 7, FALSE)</f>
        <v>2900</v>
      </c>
      <c r="I94">
        <v>0</v>
      </c>
      <c r="J94" s="11" t="s">
        <v>726</v>
      </c>
    </row>
    <row r="95" spans="1:10" x14ac:dyDescent="0.45">
      <c r="A95" t="s">
        <v>96</v>
      </c>
      <c r="B95" s="8" t="s">
        <v>298</v>
      </c>
      <c r="C95">
        <v>36.209400000000002</v>
      </c>
      <c r="D95">
        <v>-95.944199999999995</v>
      </c>
      <c r="E95" t="s">
        <v>411</v>
      </c>
      <c r="F95" t="s">
        <v>447</v>
      </c>
      <c r="G95" t="s">
        <v>447</v>
      </c>
      <c r="H95" s="6">
        <f>VLOOKUP(A95, '[1]Marini+iDigBio'!$D$2:$J$306, 7, FALSE)</f>
        <v>2696</v>
      </c>
      <c r="I95">
        <v>0</v>
      </c>
      <c r="J95" s="11" t="s">
        <v>727</v>
      </c>
    </row>
    <row r="96" spans="1:10" x14ac:dyDescent="0.45">
      <c r="A96" t="s">
        <v>97</v>
      </c>
      <c r="B96" s="8" t="s">
        <v>299</v>
      </c>
      <c r="C96">
        <v>51.237200000000001</v>
      </c>
      <c r="D96">
        <v>6.7754000000000003</v>
      </c>
      <c r="E96" t="s">
        <v>412</v>
      </c>
      <c r="F96" t="s">
        <v>446</v>
      </c>
      <c r="G96" t="s">
        <v>446</v>
      </c>
      <c r="H96" s="6">
        <f>VLOOKUP(A96, '[1]Marini+iDigBio'!$D$2:$J$306, 7, FALSE)</f>
        <v>2666.6666666666665</v>
      </c>
      <c r="I96">
        <v>0</v>
      </c>
      <c r="J96" s="11" t="s">
        <v>876</v>
      </c>
    </row>
    <row r="97" spans="1:10" ht="30" x14ac:dyDescent="0.45">
      <c r="A97" t="s">
        <v>98</v>
      </c>
      <c r="B97" s="8" t="s">
        <v>300</v>
      </c>
      <c r="C97">
        <v>60.391300000000001</v>
      </c>
      <c r="D97">
        <v>5.3220999999999998</v>
      </c>
      <c r="E97" t="s">
        <v>423</v>
      </c>
      <c r="F97" t="s">
        <v>446</v>
      </c>
      <c r="G97" t="s">
        <v>446</v>
      </c>
      <c r="H97" s="6">
        <f>VLOOKUP(A97, '[1]Marini+iDigBio'!$D$2:$J$306, 7, FALSE)</f>
        <v>2659</v>
      </c>
      <c r="I97">
        <v>0</v>
      </c>
      <c r="J97" s="11" t="s">
        <v>728</v>
      </c>
    </row>
    <row r="98" spans="1:10" ht="30" x14ac:dyDescent="0.45">
      <c r="A98" t="s">
        <v>99</v>
      </c>
      <c r="B98" s="8" t="s">
        <v>301</v>
      </c>
      <c r="C98">
        <v>53.143500000000003</v>
      </c>
      <c r="D98">
        <v>8.2147000000000006</v>
      </c>
      <c r="E98" t="s">
        <v>412</v>
      </c>
      <c r="F98" t="s">
        <v>446</v>
      </c>
      <c r="G98" t="s">
        <v>446</v>
      </c>
      <c r="H98" s="6">
        <f>VLOOKUP(A98, '[1]Marini+iDigBio'!$D$2:$J$306, 7, FALSE)</f>
        <v>2633.3333333333335</v>
      </c>
      <c r="I98">
        <v>0</v>
      </c>
      <c r="J98" s="11" t="s">
        <v>729</v>
      </c>
    </row>
    <row r="99" spans="1:10" ht="30" x14ac:dyDescent="0.45">
      <c r="A99" t="s">
        <v>100</v>
      </c>
      <c r="B99" s="8" t="s">
        <v>302</v>
      </c>
      <c r="C99">
        <v>64.135499999999993</v>
      </c>
      <c r="D99">
        <v>-21.895499999999998</v>
      </c>
      <c r="E99" t="s">
        <v>431</v>
      </c>
      <c r="F99" t="s">
        <v>449</v>
      </c>
      <c r="G99" t="s">
        <v>449</v>
      </c>
      <c r="H99" s="6">
        <f>VLOOKUP(A99, '[1]Marini+iDigBio'!$D$2:$J$306, 7, FALSE)</f>
        <v>2600</v>
      </c>
      <c r="I99">
        <v>0</v>
      </c>
      <c r="J99" s="11" t="s">
        <v>877</v>
      </c>
    </row>
    <row r="100" spans="1:10" ht="30" x14ac:dyDescent="0.45">
      <c r="A100" t="s">
        <v>24</v>
      </c>
      <c r="B100" s="8" t="s">
        <v>225</v>
      </c>
      <c r="C100">
        <v>55.703299999999999</v>
      </c>
      <c r="D100">
        <v>12.557499999999999</v>
      </c>
      <c r="E100" t="s">
        <v>419</v>
      </c>
      <c r="F100" t="s">
        <v>446</v>
      </c>
      <c r="G100" t="s">
        <v>446</v>
      </c>
      <c r="H100" s="6">
        <f>VLOOKUP(A100, '[1]Marini+iDigBio'!$D$2:$J$306, 7, FALSE)</f>
        <v>17000</v>
      </c>
      <c r="I100">
        <v>0</v>
      </c>
      <c r="J100" s="11" t="s">
        <v>858</v>
      </c>
    </row>
    <row r="101" spans="1:10" x14ac:dyDescent="0.45">
      <c r="A101" t="s">
        <v>101</v>
      </c>
      <c r="B101" s="8" t="s">
        <v>303</v>
      </c>
      <c r="C101">
        <v>45.469700000000003</v>
      </c>
      <c r="D101">
        <v>9.1961999999999993</v>
      </c>
      <c r="E101" t="s">
        <v>432</v>
      </c>
      <c r="F101" t="s">
        <v>446</v>
      </c>
      <c r="G101" t="s">
        <v>446</v>
      </c>
      <c r="H101" s="6">
        <f>VLOOKUP(A101, '[1]Marini+iDigBio'!$D$2:$J$306, 7, FALSE)</f>
        <v>2500</v>
      </c>
      <c r="I101">
        <v>0</v>
      </c>
      <c r="J101" s="12"/>
    </row>
    <row r="102" spans="1:10" x14ac:dyDescent="0.45">
      <c r="A102" t="s">
        <v>102</v>
      </c>
      <c r="B102" s="8" t="s">
        <v>304</v>
      </c>
      <c r="C102">
        <v>40.251800000000003</v>
      </c>
      <c r="D102">
        <v>-111.6493</v>
      </c>
      <c r="E102" t="s">
        <v>411</v>
      </c>
      <c r="F102" t="s">
        <v>447</v>
      </c>
      <c r="G102" t="s">
        <v>447</v>
      </c>
      <c r="H102" s="6">
        <f>VLOOKUP(A102, '[1]Marini+iDigBio'!$D$2:$J$306, 7, FALSE)</f>
        <v>2493</v>
      </c>
      <c r="I102">
        <v>0</v>
      </c>
      <c r="J102" s="11" t="s">
        <v>730</v>
      </c>
    </row>
    <row r="103" spans="1:10" x14ac:dyDescent="0.45">
      <c r="A103" t="s">
        <v>103</v>
      </c>
      <c r="B103" s="8" t="s">
        <v>305</v>
      </c>
      <c r="C103">
        <v>51.454500000000003</v>
      </c>
      <c r="D103">
        <v>-2.5878999999999999</v>
      </c>
      <c r="E103" t="s">
        <v>410</v>
      </c>
      <c r="F103" t="s">
        <v>446</v>
      </c>
      <c r="G103" t="s">
        <v>446</v>
      </c>
      <c r="H103" s="6">
        <f>VLOOKUP(A103, '[1]Marini+iDigBio'!$D$2:$J$306, 7, FALSE)</f>
        <v>2400</v>
      </c>
      <c r="I103">
        <v>0</v>
      </c>
      <c r="J103" s="11" t="s">
        <v>731</v>
      </c>
    </row>
    <row r="104" spans="1:10" x14ac:dyDescent="0.45">
      <c r="A104" t="s">
        <v>104</v>
      </c>
      <c r="B104" s="8" t="s">
        <v>306</v>
      </c>
      <c r="C104">
        <v>3.4516</v>
      </c>
      <c r="D104">
        <v>-76.531999999999996</v>
      </c>
      <c r="E104" t="s">
        <v>428</v>
      </c>
      <c r="F104" t="s">
        <v>449</v>
      </c>
      <c r="G104" t="s">
        <v>449</v>
      </c>
      <c r="H104" s="6">
        <f>VLOOKUP(A104, '[1]Marini+iDigBio'!$D$2:$J$306, 7, FALSE)</f>
        <v>2266</v>
      </c>
      <c r="I104">
        <v>0</v>
      </c>
      <c r="J104" s="11" t="s">
        <v>878</v>
      </c>
    </row>
    <row r="105" spans="1:10" ht="30" x14ac:dyDescent="0.45">
      <c r="A105" t="s">
        <v>105</v>
      </c>
      <c r="B105" s="8" t="s">
        <v>307</v>
      </c>
      <c r="C105">
        <v>51.153599999999997</v>
      </c>
      <c r="D105">
        <v>14.9861</v>
      </c>
      <c r="E105" t="s">
        <v>412</v>
      </c>
      <c r="F105" t="s">
        <v>446</v>
      </c>
      <c r="G105" t="s">
        <v>446</v>
      </c>
      <c r="H105" s="6">
        <f>VLOOKUP(A105, '[1]Marini+iDigBio'!$D$2:$J$306, 7, FALSE)</f>
        <v>2263</v>
      </c>
      <c r="I105">
        <v>0</v>
      </c>
      <c r="J105" s="11" t="s">
        <v>676</v>
      </c>
    </row>
    <row r="106" spans="1:10" x14ac:dyDescent="0.45">
      <c r="A106" t="s">
        <v>106</v>
      </c>
      <c r="B106" s="8" t="s">
        <v>308</v>
      </c>
      <c r="C106">
        <v>-23.561699999999998</v>
      </c>
      <c r="D106">
        <v>-46.7346</v>
      </c>
      <c r="E106" t="s">
        <v>433</v>
      </c>
      <c r="F106" t="s">
        <v>451</v>
      </c>
      <c r="G106" t="s">
        <v>451</v>
      </c>
      <c r="H106" s="6">
        <f>VLOOKUP(A106, '[1]Marini+iDigBio'!$D$2:$J$306, 7, FALSE)</f>
        <v>2200</v>
      </c>
      <c r="I106">
        <v>0</v>
      </c>
      <c r="J106" s="11" t="s">
        <v>879</v>
      </c>
    </row>
    <row r="107" spans="1:10" x14ac:dyDescent="0.45">
      <c r="A107" t="s">
        <v>107</v>
      </c>
      <c r="B107" s="8" t="s">
        <v>309</v>
      </c>
      <c r="C107">
        <v>39.544199999999996</v>
      </c>
      <c r="D107">
        <v>-119.816</v>
      </c>
      <c r="E107" t="s">
        <v>411</v>
      </c>
      <c r="F107" t="s">
        <v>447</v>
      </c>
      <c r="G107" t="s">
        <v>447</v>
      </c>
      <c r="H107" s="6">
        <f>VLOOKUP(A107, '[1]Marini+iDigBio'!$D$2:$J$306, 7, FALSE)</f>
        <v>2181</v>
      </c>
      <c r="I107">
        <v>1</v>
      </c>
      <c r="J107" s="11" t="s">
        <v>732</v>
      </c>
    </row>
    <row r="108" spans="1:10" ht="30" x14ac:dyDescent="0.45">
      <c r="A108" t="s">
        <v>108</v>
      </c>
      <c r="B108" s="8" t="s">
        <v>310</v>
      </c>
      <c r="C108">
        <v>52.024500000000003</v>
      </c>
      <c r="D108">
        <v>0.24390000000000001</v>
      </c>
      <c r="E108" t="s">
        <v>410</v>
      </c>
      <c r="F108" t="s">
        <v>446</v>
      </c>
      <c r="G108" t="s">
        <v>446</v>
      </c>
      <c r="H108" s="6">
        <f>VLOOKUP(A108, '[1]Marini+iDigBio'!$D$2:$J$306, 7, FALSE)</f>
        <v>2180</v>
      </c>
      <c r="I108">
        <v>0</v>
      </c>
      <c r="J108" s="11" t="s">
        <v>733</v>
      </c>
    </row>
    <row r="109" spans="1:10" ht="30" x14ac:dyDescent="0.45">
      <c r="A109" t="s">
        <v>109</v>
      </c>
      <c r="B109" s="8" t="s">
        <v>311</v>
      </c>
      <c r="C109">
        <v>54.086799999999997</v>
      </c>
      <c r="D109">
        <v>13.384499999999999</v>
      </c>
      <c r="E109" t="s">
        <v>412</v>
      </c>
      <c r="F109" t="s">
        <v>446</v>
      </c>
      <c r="G109" t="s">
        <v>446</v>
      </c>
      <c r="H109" s="6">
        <f>VLOOKUP(A109, '[1]Marini+iDigBio'!$D$2:$J$306, 7, FALSE)</f>
        <v>2161</v>
      </c>
      <c r="I109">
        <v>0</v>
      </c>
      <c r="J109" s="12"/>
    </row>
    <row r="110" spans="1:10" x14ac:dyDescent="0.45">
      <c r="A110" t="s">
        <v>110</v>
      </c>
      <c r="B110" s="8" t="s">
        <v>312</v>
      </c>
      <c r="C110">
        <v>43.038899999999998</v>
      </c>
      <c r="D110">
        <v>-87.906499999999994</v>
      </c>
      <c r="E110" t="s">
        <v>411</v>
      </c>
      <c r="F110" t="s">
        <v>447</v>
      </c>
      <c r="G110" t="s">
        <v>447</v>
      </c>
      <c r="H110" s="6">
        <f>VLOOKUP(A110, '[1]Marini+iDigBio'!$D$2:$J$306, 7, FALSE)</f>
        <v>2161</v>
      </c>
      <c r="I110">
        <v>0</v>
      </c>
      <c r="J110" s="11" t="s">
        <v>734</v>
      </c>
    </row>
    <row r="111" spans="1:10" x14ac:dyDescent="0.45">
      <c r="A111" t="s">
        <v>111</v>
      </c>
      <c r="B111" s="8" t="s">
        <v>313</v>
      </c>
      <c r="C111">
        <v>48.428400000000003</v>
      </c>
      <c r="D111">
        <v>-123.3656</v>
      </c>
      <c r="E111" t="s">
        <v>420</v>
      </c>
      <c r="F111" t="s">
        <v>447</v>
      </c>
      <c r="G111" t="s">
        <v>447</v>
      </c>
      <c r="H111" s="6">
        <f>VLOOKUP(A111, '[1]Marini+iDigBio'!$D$2:$J$306, 7, FALSE)</f>
        <v>2158</v>
      </c>
      <c r="I111">
        <v>0</v>
      </c>
      <c r="J111" s="11" t="s">
        <v>880</v>
      </c>
    </row>
    <row r="112" spans="1:10" ht="30" x14ac:dyDescent="0.45">
      <c r="A112" t="s">
        <v>112</v>
      </c>
      <c r="B112" s="8" t="s">
        <v>314</v>
      </c>
      <c r="C112">
        <v>37.229599999999998</v>
      </c>
      <c r="D112">
        <v>-80.424199999999999</v>
      </c>
      <c r="E112" t="s">
        <v>411</v>
      </c>
      <c r="F112" t="s">
        <v>447</v>
      </c>
      <c r="G112" t="s">
        <v>447</v>
      </c>
      <c r="H112" s="6">
        <f>VLOOKUP(A112, '[1]Marini+iDigBio'!$D$2:$J$306, 7, FALSE)</f>
        <v>2100</v>
      </c>
      <c r="I112">
        <v>0</v>
      </c>
      <c r="J112" s="11" t="s">
        <v>735</v>
      </c>
    </row>
    <row r="113" spans="1:10" ht="30" x14ac:dyDescent="0.45">
      <c r="A113" t="s">
        <v>113</v>
      </c>
      <c r="B113" s="8" t="s">
        <v>315</v>
      </c>
      <c r="C113">
        <v>33.689100000000003</v>
      </c>
      <c r="D113">
        <v>-85.823400000000007</v>
      </c>
      <c r="E113" t="s">
        <v>411</v>
      </c>
      <c r="F113" t="s">
        <v>447</v>
      </c>
      <c r="G113" t="s">
        <v>447</v>
      </c>
      <c r="H113" s="6">
        <f>VLOOKUP(A113, '[1]Marini+iDigBio'!$D$2:$J$306, 7, FALSE)</f>
        <v>2050</v>
      </c>
      <c r="I113">
        <v>0</v>
      </c>
      <c r="J113" s="12"/>
    </row>
    <row r="114" spans="1:10" ht="30" x14ac:dyDescent="0.45">
      <c r="A114" t="s">
        <v>114</v>
      </c>
      <c r="B114" s="8" t="s">
        <v>316</v>
      </c>
      <c r="C114">
        <v>41.511499999999998</v>
      </c>
      <c r="D114">
        <v>-81.611000000000004</v>
      </c>
      <c r="E114" t="s">
        <v>411</v>
      </c>
      <c r="F114" t="s">
        <v>447</v>
      </c>
      <c r="G114" t="s">
        <v>447</v>
      </c>
      <c r="H114" s="6">
        <f>VLOOKUP(A114, '[1]Marini+iDigBio'!$D$2:$J$306, 7, FALSE)</f>
        <v>2027</v>
      </c>
      <c r="I114">
        <v>0</v>
      </c>
      <c r="J114" s="11" t="s">
        <v>736</v>
      </c>
    </row>
    <row r="115" spans="1:10" ht="30" x14ac:dyDescent="0.45">
      <c r="A115" t="s">
        <v>115</v>
      </c>
      <c r="B115" s="8" t="s">
        <v>317</v>
      </c>
      <c r="C115">
        <v>48.584600000000002</v>
      </c>
      <c r="D115">
        <v>7.7507000000000001</v>
      </c>
      <c r="E115" t="s">
        <v>425</v>
      </c>
      <c r="F115" t="s">
        <v>446</v>
      </c>
      <c r="G115" t="s">
        <v>446</v>
      </c>
      <c r="H115" s="6">
        <f>VLOOKUP(A115, '[1]Marini+iDigBio'!$D$2:$J$306, 7, FALSE)</f>
        <v>2023</v>
      </c>
      <c r="I115">
        <v>0</v>
      </c>
      <c r="J115" s="11" t="s">
        <v>881</v>
      </c>
    </row>
    <row r="116" spans="1:10" ht="30" x14ac:dyDescent="0.45">
      <c r="A116" t="s">
        <v>116</v>
      </c>
      <c r="B116" s="8" t="s">
        <v>318</v>
      </c>
      <c r="C116">
        <v>51.107900000000001</v>
      </c>
      <c r="D116">
        <v>17.034600000000001</v>
      </c>
      <c r="E116" t="s">
        <v>430</v>
      </c>
      <c r="F116" t="s">
        <v>446</v>
      </c>
      <c r="G116" t="s">
        <v>446</v>
      </c>
      <c r="H116" s="6">
        <f>VLOOKUP(A116, '[1]Marini+iDigBio'!$D$2:$J$306, 7, FALSE)</f>
        <v>2000</v>
      </c>
      <c r="I116">
        <v>0</v>
      </c>
      <c r="J116" s="11" t="s">
        <v>882</v>
      </c>
    </row>
    <row r="117" spans="1:10" ht="30" x14ac:dyDescent="0.45">
      <c r="A117" t="s">
        <v>117</v>
      </c>
      <c r="B117" s="8" t="s">
        <v>319</v>
      </c>
      <c r="C117">
        <v>51.758699999999997</v>
      </c>
      <c r="D117">
        <v>-1.2549999999999999</v>
      </c>
      <c r="E117" t="s">
        <v>410</v>
      </c>
      <c r="F117" t="s">
        <v>446</v>
      </c>
      <c r="G117" t="s">
        <v>446</v>
      </c>
      <c r="H117" s="6">
        <f>VLOOKUP(A117, '[1]Marini+iDigBio'!$D$2:$J$306, 7, FALSE)</f>
        <v>2000</v>
      </c>
      <c r="I117">
        <v>0</v>
      </c>
      <c r="J117" s="11" t="s">
        <v>737</v>
      </c>
    </row>
    <row r="118" spans="1:10" ht="30" x14ac:dyDescent="0.45">
      <c r="A118" t="s">
        <v>118</v>
      </c>
      <c r="B118" s="8" t="s">
        <v>320</v>
      </c>
      <c r="C118">
        <v>46.991500000000002</v>
      </c>
      <c r="D118">
        <v>6.9290000000000003</v>
      </c>
      <c r="E118" t="s">
        <v>418</v>
      </c>
      <c r="F118" t="s">
        <v>446</v>
      </c>
      <c r="G118" t="s">
        <v>446</v>
      </c>
      <c r="H118" s="6">
        <f>VLOOKUP(A118, '[1]Marini+iDigBio'!$D$2:$J$306, 7, FALSE)</f>
        <v>2000</v>
      </c>
      <c r="I118">
        <v>0</v>
      </c>
      <c r="J118" s="11" t="s">
        <v>883</v>
      </c>
    </row>
    <row r="119" spans="1:10" ht="30" x14ac:dyDescent="0.45">
      <c r="A119" t="s">
        <v>119</v>
      </c>
      <c r="B119" s="8" t="s">
        <v>321</v>
      </c>
      <c r="C119">
        <v>38.9604</v>
      </c>
      <c r="D119">
        <v>-95.243300000000005</v>
      </c>
      <c r="E119" t="s">
        <v>411</v>
      </c>
      <c r="F119" t="s">
        <v>447</v>
      </c>
      <c r="G119" t="s">
        <v>447</v>
      </c>
      <c r="H119" s="6">
        <f>VLOOKUP(A119, '[1]Marini+iDigBio'!$D$2:$J$306, 7, FALSE)</f>
        <v>1835</v>
      </c>
      <c r="I119">
        <v>0</v>
      </c>
      <c r="J119" s="11" t="s">
        <v>738</v>
      </c>
    </row>
    <row r="120" spans="1:10" x14ac:dyDescent="0.45">
      <c r="A120" t="s">
        <v>120</v>
      </c>
      <c r="B120" s="8" t="s">
        <v>322</v>
      </c>
      <c r="C120">
        <v>42.4482</v>
      </c>
      <c r="D120">
        <v>-76.477000000000004</v>
      </c>
      <c r="E120" t="s">
        <v>411</v>
      </c>
      <c r="F120" t="s">
        <v>447</v>
      </c>
      <c r="G120" t="s">
        <v>447</v>
      </c>
      <c r="H120" s="6">
        <f>VLOOKUP(A120, '[1]Marini+iDigBio'!$D$2:$J$306, 7, FALSE)</f>
        <v>1800</v>
      </c>
      <c r="I120">
        <v>1</v>
      </c>
      <c r="J120" s="11" t="s">
        <v>739</v>
      </c>
    </row>
    <row r="121" spans="1:10" ht="30" x14ac:dyDescent="0.45">
      <c r="A121" t="s">
        <v>121</v>
      </c>
      <c r="B121" s="8" t="s">
        <v>323</v>
      </c>
      <c r="C121">
        <v>-29.857900000000001</v>
      </c>
      <c r="D121">
        <v>31.024100000000001</v>
      </c>
      <c r="E121" t="s">
        <v>424</v>
      </c>
      <c r="F121" t="s">
        <v>450</v>
      </c>
      <c r="G121" t="s">
        <v>450</v>
      </c>
      <c r="H121" s="6">
        <f>VLOOKUP(A121, '[1]Marini+iDigBio'!$D$2:$J$306, 7, FALSE)</f>
        <v>1770</v>
      </c>
      <c r="I121">
        <v>0</v>
      </c>
      <c r="J121" s="11" t="s">
        <v>884</v>
      </c>
    </row>
    <row r="122" spans="1:10" ht="30" x14ac:dyDescent="0.45">
      <c r="A122" t="s">
        <v>122</v>
      </c>
      <c r="B122" s="8" t="s">
        <v>324</v>
      </c>
      <c r="C122">
        <v>43.604300000000002</v>
      </c>
      <c r="D122">
        <v>1.4441999999999999</v>
      </c>
      <c r="E122" t="s">
        <v>425</v>
      </c>
      <c r="F122" t="s">
        <v>446</v>
      </c>
      <c r="G122" t="s">
        <v>446</v>
      </c>
      <c r="H122" s="6">
        <f>VLOOKUP(A122, '[1]Marini+iDigBio'!$D$2:$J$306, 7, FALSE)</f>
        <v>1766.6666666666667</v>
      </c>
      <c r="I122">
        <v>0</v>
      </c>
      <c r="J122" s="11" t="s">
        <v>740</v>
      </c>
    </row>
    <row r="123" spans="1:10" x14ac:dyDescent="0.45">
      <c r="A123" t="s">
        <v>123</v>
      </c>
      <c r="B123" s="8" t="s">
        <v>325</v>
      </c>
      <c r="C123">
        <v>-27.470500000000001</v>
      </c>
      <c r="D123">
        <v>153.02510000000001</v>
      </c>
      <c r="E123" t="s">
        <v>417</v>
      </c>
      <c r="F123" t="s">
        <v>448</v>
      </c>
      <c r="G123" t="s">
        <v>448</v>
      </c>
      <c r="H123" s="6">
        <f>VLOOKUP(A123, '[1]Marini+iDigBio'!$D$2:$J$306, 7, FALSE)</f>
        <v>1716.6666666666667</v>
      </c>
      <c r="I123">
        <v>0</v>
      </c>
      <c r="J123" s="11" t="s">
        <v>741</v>
      </c>
    </row>
    <row r="124" spans="1:10" ht="45" x14ac:dyDescent="0.45">
      <c r="A124" t="s">
        <v>124</v>
      </c>
      <c r="B124" s="8" t="s">
        <v>326</v>
      </c>
      <c r="C124">
        <v>49.282699999999998</v>
      </c>
      <c r="D124">
        <v>-123.1207</v>
      </c>
      <c r="E124" t="s">
        <v>420</v>
      </c>
      <c r="F124" t="s">
        <v>447</v>
      </c>
      <c r="G124" t="s">
        <v>447</v>
      </c>
      <c r="H124" s="6">
        <f>VLOOKUP(A124, '[1]Marini+iDigBio'!$D$2:$J$306, 7, FALSE)</f>
        <v>1700</v>
      </c>
      <c r="I124">
        <v>0</v>
      </c>
      <c r="J124" s="11" t="s">
        <v>885</v>
      </c>
    </row>
    <row r="125" spans="1:10" x14ac:dyDescent="0.45">
      <c r="A125" t="s">
        <v>125</v>
      </c>
      <c r="B125" s="8" t="s">
        <v>327</v>
      </c>
      <c r="C125">
        <v>69.649199999999993</v>
      </c>
      <c r="D125">
        <v>18.955300000000001</v>
      </c>
      <c r="E125" t="s">
        <v>423</v>
      </c>
      <c r="F125" t="s">
        <v>446</v>
      </c>
      <c r="G125" t="s">
        <v>446</v>
      </c>
      <c r="H125" s="6">
        <f>VLOOKUP(A125, '[1]Marini+iDigBio'!$D$2:$J$306, 7, FALSE)</f>
        <v>1700</v>
      </c>
      <c r="I125">
        <v>0</v>
      </c>
      <c r="J125" s="11" t="s">
        <v>742</v>
      </c>
    </row>
    <row r="126" spans="1:10" x14ac:dyDescent="0.45">
      <c r="A126" t="s">
        <v>126</v>
      </c>
      <c r="B126" s="8" t="s">
        <v>328</v>
      </c>
      <c r="C126">
        <v>36.067799999999998</v>
      </c>
      <c r="D126">
        <v>-94.171899999999994</v>
      </c>
      <c r="E126" t="s">
        <v>411</v>
      </c>
      <c r="F126" t="s">
        <v>447</v>
      </c>
      <c r="G126" t="s">
        <v>447</v>
      </c>
      <c r="H126" s="6">
        <f>VLOOKUP(A126, '[1]Marini+iDigBio'!$D$2:$J$306, 7, FALSE)</f>
        <v>1678</v>
      </c>
      <c r="I126">
        <v>0</v>
      </c>
      <c r="J126" s="11" t="s">
        <v>743</v>
      </c>
    </row>
    <row r="127" spans="1:10" x14ac:dyDescent="0.45">
      <c r="A127" t="s">
        <v>127</v>
      </c>
      <c r="B127" s="8" t="s">
        <v>329</v>
      </c>
      <c r="C127">
        <v>-31.950500000000002</v>
      </c>
      <c r="D127">
        <v>115.8575</v>
      </c>
      <c r="E127" t="s">
        <v>417</v>
      </c>
      <c r="F127" t="s">
        <v>448</v>
      </c>
      <c r="G127" t="s">
        <v>448</v>
      </c>
      <c r="H127" s="6">
        <f>VLOOKUP(A127, '[1]Marini+iDigBio'!$D$2:$J$306, 7, FALSE)</f>
        <v>1616.6666666666667</v>
      </c>
      <c r="I127">
        <v>0</v>
      </c>
      <c r="J127" s="11" t="s">
        <v>744</v>
      </c>
    </row>
    <row r="128" spans="1:10" x14ac:dyDescent="0.45">
      <c r="A128" t="s">
        <v>128</v>
      </c>
      <c r="B128" s="8" t="s">
        <v>330</v>
      </c>
      <c r="C128">
        <v>51.497799999999998</v>
      </c>
      <c r="D128">
        <v>-0.1744</v>
      </c>
      <c r="E128" t="s">
        <v>410</v>
      </c>
      <c r="F128" t="s">
        <v>446</v>
      </c>
      <c r="G128" t="s">
        <v>446</v>
      </c>
      <c r="H128" s="6">
        <f>VLOOKUP(A128, '[1]Marini+iDigBio'!$D$2:$J$306, 7, FALSE)</f>
        <v>1612</v>
      </c>
      <c r="I128">
        <v>0</v>
      </c>
      <c r="J128" s="11" t="s">
        <v>745</v>
      </c>
    </row>
    <row r="129" spans="1:10" ht="30" x14ac:dyDescent="0.45">
      <c r="A129" t="s">
        <v>129</v>
      </c>
      <c r="B129" s="8" t="s">
        <v>331</v>
      </c>
      <c r="C129">
        <v>50.823300000000003</v>
      </c>
      <c r="D129">
        <v>4.5151000000000003</v>
      </c>
      <c r="E129" t="s">
        <v>434</v>
      </c>
      <c r="F129" t="s">
        <v>446</v>
      </c>
      <c r="G129" t="s">
        <v>446</v>
      </c>
      <c r="H129" s="6">
        <f>VLOOKUP(A129, '[1]Marini+iDigBio'!$D$2:$J$306, 7, FALSE)</f>
        <v>1500</v>
      </c>
      <c r="I129">
        <v>0</v>
      </c>
      <c r="J129" s="11" t="s">
        <v>746</v>
      </c>
    </row>
    <row r="130" spans="1:10" ht="30" x14ac:dyDescent="0.45">
      <c r="A130" t="s">
        <v>130</v>
      </c>
      <c r="B130" s="8" t="s">
        <v>332</v>
      </c>
      <c r="C130">
        <v>60.453800000000001</v>
      </c>
      <c r="D130">
        <v>22.282599999999999</v>
      </c>
      <c r="E130" t="s">
        <v>414</v>
      </c>
      <c r="F130" t="s">
        <v>446</v>
      </c>
      <c r="G130" t="s">
        <v>446</v>
      </c>
      <c r="H130" s="6">
        <f>VLOOKUP(A130, '[1]Marini+iDigBio'!$D$2:$J$306, 7, FALSE)</f>
        <v>1500</v>
      </c>
      <c r="I130">
        <v>0</v>
      </c>
      <c r="J130" s="11" t="s">
        <v>886</v>
      </c>
    </row>
    <row r="131" spans="1:10" ht="30" x14ac:dyDescent="0.45">
      <c r="A131" t="s">
        <v>131</v>
      </c>
      <c r="B131" s="8" t="s">
        <v>333</v>
      </c>
      <c r="C131">
        <v>50.7256</v>
      </c>
      <c r="D131">
        <v>-3.5274999999999999</v>
      </c>
      <c r="E131" t="s">
        <v>410</v>
      </c>
      <c r="F131" t="s">
        <v>446</v>
      </c>
      <c r="G131" t="s">
        <v>446</v>
      </c>
      <c r="H131" s="6">
        <f>VLOOKUP(A131, '[1]Marini+iDigBio'!$D$2:$J$306, 7, FALSE)</f>
        <v>1500</v>
      </c>
      <c r="I131">
        <v>0</v>
      </c>
      <c r="J131" s="11" t="s">
        <v>747</v>
      </c>
    </row>
    <row r="132" spans="1:10" ht="30" x14ac:dyDescent="0.45">
      <c r="A132" t="s">
        <v>132</v>
      </c>
      <c r="B132" s="8" t="s">
        <v>334</v>
      </c>
      <c r="C132">
        <v>40.0092</v>
      </c>
      <c r="D132">
        <v>-105.2731</v>
      </c>
      <c r="E132" t="s">
        <v>411</v>
      </c>
      <c r="F132" t="s">
        <v>447</v>
      </c>
      <c r="G132" t="s">
        <v>447</v>
      </c>
      <c r="H132" s="6">
        <f>VLOOKUP(A132, '[1]Marini+iDigBio'!$D$2:$J$306, 7, FALSE)</f>
        <v>1412</v>
      </c>
      <c r="I132">
        <v>1</v>
      </c>
      <c r="J132" s="11" t="s">
        <v>748</v>
      </c>
    </row>
    <row r="133" spans="1:10" ht="30" x14ac:dyDescent="0.45">
      <c r="A133" t="s">
        <v>133</v>
      </c>
      <c r="B133" s="8" t="s">
        <v>335</v>
      </c>
      <c r="C133">
        <v>32.113300000000002</v>
      </c>
      <c r="D133">
        <v>34.804400000000001</v>
      </c>
      <c r="E133" t="s">
        <v>435</v>
      </c>
      <c r="F133" t="s">
        <v>449</v>
      </c>
      <c r="G133" t="s">
        <v>449</v>
      </c>
      <c r="H133" s="6">
        <f>VLOOKUP(A133, '[1]Marini+iDigBio'!$D$2:$J$306, 7, FALSE)</f>
        <v>1400</v>
      </c>
      <c r="I133">
        <v>0</v>
      </c>
      <c r="J133" s="11" t="s">
        <v>749</v>
      </c>
    </row>
    <row r="134" spans="1:10" ht="45" x14ac:dyDescent="0.45">
      <c r="A134" t="s">
        <v>134</v>
      </c>
      <c r="B134" s="8" t="s">
        <v>336</v>
      </c>
      <c r="C134">
        <v>44.9739</v>
      </c>
      <c r="D134">
        <v>-93.227699999999999</v>
      </c>
      <c r="E134" t="s">
        <v>411</v>
      </c>
      <c r="F134" t="s">
        <v>447</v>
      </c>
      <c r="G134" t="s">
        <v>447</v>
      </c>
      <c r="H134" s="6">
        <f>VLOOKUP(A134, '[1]Marini+iDigBio'!$D$2:$J$306, 7, FALSE)</f>
        <v>1372</v>
      </c>
      <c r="I134">
        <v>0</v>
      </c>
      <c r="J134" s="11" t="s">
        <v>750</v>
      </c>
    </row>
    <row r="135" spans="1:10" ht="30" x14ac:dyDescent="0.45">
      <c r="A135" t="s">
        <v>135</v>
      </c>
      <c r="B135" s="8" t="s">
        <v>337</v>
      </c>
      <c r="C135">
        <v>43.855699999999999</v>
      </c>
      <c r="D135">
        <v>18.4131</v>
      </c>
      <c r="E135" t="s">
        <v>436</v>
      </c>
      <c r="F135" t="s">
        <v>449</v>
      </c>
      <c r="G135" t="s">
        <v>449</v>
      </c>
      <c r="H135" s="6">
        <f>VLOOKUP(A135, '[1]Marini+iDigBio'!$D$2:$J$306, 7, FALSE)</f>
        <v>1370.6666666666667</v>
      </c>
      <c r="I135">
        <v>0</v>
      </c>
      <c r="J135" s="11" t="s">
        <v>751</v>
      </c>
    </row>
    <row r="136" spans="1:10" ht="30" x14ac:dyDescent="0.45">
      <c r="A136" t="s">
        <v>136</v>
      </c>
      <c r="B136" s="8" t="s">
        <v>338</v>
      </c>
      <c r="C136">
        <v>40.817599999999999</v>
      </c>
      <c r="D136">
        <v>-96.700299999999999</v>
      </c>
      <c r="E136" t="s">
        <v>411</v>
      </c>
      <c r="F136" t="s">
        <v>447</v>
      </c>
      <c r="G136" t="s">
        <v>447</v>
      </c>
      <c r="H136" s="6">
        <f>VLOOKUP(A136, '[1]Marini+iDigBio'!$D$2:$J$306, 7, FALSE)</f>
        <v>1358</v>
      </c>
      <c r="I136">
        <v>0</v>
      </c>
      <c r="J136" s="11" t="s">
        <v>752</v>
      </c>
    </row>
    <row r="137" spans="1:10" ht="30" x14ac:dyDescent="0.45">
      <c r="A137" t="s">
        <v>9</v>
      </c>
      <c r="B137" s="8" t="s">
        <v>210</v>
      </c>
      <c r="C137">
        <v>52.53</v>
      </c>
      <c r="D137">
        <v>13.3889</v>
      </c>
      <c r="E137" t="s">
        <v>412</v>
      </c>
      <c r="F137" t="s">
        <v>446</v>
      </c>
      <c r="G137" t="s">
        <v>446</v>
      </c>
      <c r="H137" s="6">
        <f>VLOOKUP(A137, '[1]Marini+iDigBio'!$D$2:$J$306, 7, FALSE)</f>
        <v>50000</v>
      </c>
      <c r="I137">
        <v>0</v>
      </c>
      <c r="J137" s="11" t="s">
        <v>756</v>
      </c>
    </row>
    <row r="138" spans="1:10" x14ac:dyDescent="0.45">
      <c r="A138" t="s">
        <v>137</v>
      </c>
      <c r="B138" s="8" t="s">
        <v>339</v>
      </c>
      <c r="C138">
        <v>37.256</v>
      </c>
      <c r="D138">
        <v>-6.0490000000000004</v>
      </c>
      <c r="E138" t="s">
        <v>437</v>
      </c>
      <c r="F138" t="s">
        <v>446</v>
      </c>
      <c r="G138" t="s">
        <v>446</v>
      </c>
      <c r="H138" s="6">
        <f>VLOOKUP(A138, '[1]Marini+iDigBio'!$D$2:$J$306, 7, FALSE)</f>
        <v>1344</v>
      </c>
      <c r="I138">
        <v>0</v>
      </c>
      <c r="J138" s="11" t="s">
        <v>753</v>
      </c>
    </row>
    <row r="139" spans="1:10" x14ac:dyDescent="0.45">
      <c r="A139" t="s">
        <v>138</v>
      </c>
      <c r="B139" s="8" t="s">
        <v>340</v>
      </c>
      <c r="C139">
        <v>50.347999999999999</v>
      </c>
      <c r="D139">
        <v>18.9237</v>
      </c>
      <c r="E139" t="s">
        <v>430</v>
      </c>
      <c r="F139" t="s">
        <v>446</v>
      </c>
      <c r="G139" t="s">
        <v>446</v>
      </c>
      <c r="H139" s="6">
        <f>VLOOKUP(A139, '[1]Marini+iDigBio'!$D$2:$J$306, 7, FALSE)</f>
        <v>1273.6666666666667</v>
      </c>
      <c r="I139">
        <v>0</v>
      </c>
      <c r="J139" s="11" t="s">
        <v>754</v>
      </c>
    </row>
    <row r="140" spans="1:10" x14ac:dyDescent="0.45">
      <c r="A140" t="s">
        <v>139</v>
      </c>
      <c r="B140" s="8" t="s">
        <v>341</v>
      </c>
      <c r="C140">
        <v>-45.874200000000002</v>
      </c>
      <c r="D140">
        <v>170.50360000000001</v>
      </c>
      <c r="E140" t="s">
        <v>438</v>
      </c>
      <c r="F140" t="s">
        <v>448</v>
      </c>
      <c r="G140" t="s">
        <v>448</v>
      </c>
      <c r="H140" s="6">
        <f>VLOOKUP(A140, '[1]Marini+iDigBio'!$D$2:$J$306, 7, FALSE)</f>
        <v>1266.6666666666667</v>
      </c>
      <c r="I140">
        <v>0</v>
      </c>
      <c r="J140" s="11" t="s">
        <v>755</v>
      </c>
    </row>
    <row r="141" spans="1:10" ht="30" x14ac:dyDescent="0.45">
      <c r="A141" t="s">
        <v>9</v>
      </c>
      <c r="B141" s="8" t="s">
        <v>342</v>
      </c>
      <c r="C141">
        <v>48.780999999999999</v>
      </c>
      <c r="D141">
        <v>9.1815999999999995</v>
      </c>
      <c r="E141" t="s">
        <v>412</v>
      </c>
      <c r="F141" t="s">
        <v>446</v>
      </c>
      <c r="G141" t="s">
        <v>446</v>
      </c>
      <c r="H141" s="6">
        <f>VLOOKUP(A141, '[1]Marini+iDigBio'!$D$2:$J$306, 7, FALSE)</f>
        <v>50000</v>
      </c>
      <c r="I141">
        <v>0</v>
      </c>
      <c r="J141" s="11" t="s">
        <v>688</v>
      </c>
    </row>
    <row r="142" spans="1:10" x14ac:dyDescent="0.45">
      <c r="A142" t="s">
        <v>140</v>
      </c>
      <c r="B142" s="8" t="s">
        <v>343</v>
      </c>
      <c r="C142">
        <v>51.269199999999998</v>
      </c>
      <c r="D142">
        <v>14.0976</v>
      </c>
      <c r="E142" t="s">
        <v>412</v>
      </c>
      <c r="F142" t="s">
        <v>446</v>
      </c>
      <c r="G142" t="s">
        <v>446</v>
      </c>
      <c r="H142" s="6">
        <f>VLOOKUP(A142, '[1]Marini+iDigBio'!$D$2:$J$306, 7, FALSE)</f>
        <v>1200</v>
      </c>
      <c r="I142">
        <v>0</v>
      </c>
      <c r="J142" s="11" t="s">
        <v>757</v>
      </c>
    </row>
    <row r="143" spans="1:10" ht="45" x14ac:dyDescent="0.45">
      <c r="A143" t="s">
        <v>141</v>
      </c>
      <c r="B143" s="8" t="s">
        <v>344</v>
      </c>
      <c r="C143">
        <v>44.4497</v>
      </c>
      <c r="D143">
        <v>26.086400000000001</v>
      </c>
      <c r="E143" t="s">
        <v>439</v>
      </c>
      <c r="F143" t="s">
        <v>449</v>
      </c>
      <c r="G143" t="s">
        <v>449</v>
      </c>
      <c r="H143" s="6">
        <f>VLOOKUP(A143, '[1]Marini+iDigBio'!$D$2:$J$306, 7, FALSE)</f>
        <v>1200</v>
      </c>
      <c r="I143">
        <v>0</v>
      </c>
      <c r="J143" s="11" t="s">
        <v>758</v>
      </c>
    </row>
    <row r="144" spans="1:10" x14ac:dyDescent="0.45">
      <c r="A144" t="s">
        <v>142</v>
      </c>
      <c r="B144" s="8" t="s">
        <v>345</v>
      </c>
      <c r="C144">
        <v>48.720999999999997</v>
      </c>
      <c r="D144">
        <v>21.249500000000001</v>
      </c>
      <c r="E144" t="s">
        <v>440</v>
      </c>
      <c r="F144" t="s">
        <v>449</v>
      </c>
      <c r="G144" t="s">
        <v>449</v>
      </c>
      <c r="H144" s="6">
        <f>VLOOKUP(A144, '[1]Marini+iDigBio'!$D$2:$J$306, 7, FALSE)</f>
        <v>1200</v>
      </c>
      <c r="I144">
        <v>0</v>
      </c>
      <c r="J144" s="11" t="s">
        <v>759</v>
      </c>
    </row>
    <row r="145" spans="1:10" ht="30" x14ac:dyDescent="0.45">
      <c r="A145" t="s">
        <v>13</v>
      </c>
      <c r="B145" s="8" t="s">
        <v>214</v>
      </c>
      <c r="C145">
        <v>38.891300000000001</v>
      </c>
      <c r="D145">
        <v>-77.026700000000005</v>
      </c>
      <c r="E145" t="s">
        <v>411</v>
      </c>
      <c r="F145" t="s">
        <v>447</v>
      </c>
      <c r="G145" t="s">
        <v>447</v>
      </c>
      <c r="H145" s="6">
        <f>VLOOKUP(A145, '[1]Marini+iDigBio'!$D$2:$J$306, 7, FALSE)</f>
        <v>31329</v>
      </c>
      <c r="I145">
        <v>1</v>
      </c>
      <c r="J145" s="11" t="s">
        <v>667</v>
      </c>
    </row>
    <row r="146" spans="1:10" x14ac:dyDescent="0.45">
      <c r="A146" t="s">
        <v>143</v>
      </c>
      <c r="B146" s="8" t="s">
        <v>346</v>
      </c>
      <c r="C146">
        <v>41.866300000000003</v>
      </c>
      <c r="D146">
        <v>-87.616699999999994</v>
      </c>
      <c r="E146" t="s">
        <v>411</v>
      </c>
      <c r="F146" t="s">
        <v>447</v>
      </c>
      <c r="G146" t="s">
        <v>447</v>
      </c>
      <c r="H146" s="6">
        <f>VLOOKUP(A146, '[1]Marini+iDigBio'!$D$2:$J$306, 7, FALSE)</f>
        <v>1186</v>
      </c>
      <c r="I146">
        <v>1</v>
      </c>
      <c r="J146" s="11" t="s">
        <v>760</v>
      </c>
    </row>
    <row r="147" spans="1:10" x14ac:dyDescent="0.45">
      <c r="A147" t="s">
        <v>144</v>
      </c>
      <c r="B147" s="8" t="s">
        <v>347</v>
      </c>
      <c r="C147">
        <v>-36.8523</v>
      </c>
      <c r="D147">
        <v>174.7645</v>
      </c>
      <c r="E147" t="s">
        <v>438</v>
      </c>
      <c r="F147" t="s">
        <v>448</v>
      </c>
      <c r="G147" t="s">
        <v>448</v>
      </c>
      <c r="H147" s="6">
        <f>VLOOKUP(A147, '[1]Marini+iDigBio'!$D$2:$J$306, 7, FALSE)</f>
        <v>1170</v>
      </c>
      <c r="I147">
        <v>0</v>
      </c>
      <c r="J147" s="11" t="s">
        <v>761</v>
      </c>
    </row>
    <row r="148" spans="1:10" ht="30" x14ac:dyDescent="0.45">
      <c r="A148" t="s">
        <v>145</v>
      </c>
      <c r="B148" s="8" t="s">
        <v>348</v>
      </c>
      <c r="C148">
        <v>52.283499999999997</v>
      </c>
      <c r="D148">
        <v>8.0472000000000001</v>
      </c>
      <c r="E148" t="s">
        <v>412</v>
      </c>
      <c r="F148" t="s">
        <v>446</v>
      </c>
      <c r="G148" t="s">
        <v>446</v>
      </c>
      <c r="H148" s="6">
        <f>VLOOKUP(A148, '[1]Marini+iDigBio'!$D$2:$J$306, 7, FALSE)</f>
        <v>1166.6666666666667</v>
      </c>
      <c r="I148">
        <v>0</v>
      </c>
      <c r="J148" s="11" t="s">
        <v>887</v>
      </c>
    </row>
    <row r="149" spans="1:10" ht="30" x14ac:dyDescent="0.45">
      <c r="A149" t="s">
        <v>146</v>
      </c>
      <c r="B149" s="8" t="s">
        <v>349</v>
      </c>
      <c r="C149">
        <v>27.802800000000001</v>
      </c>
      <c r="D149">
        <v>-97.395300000000006</v>
      </c>
      <c r="E149" t="s">
        <v>411</v>
      </c>
      <c r="F149" t="s">
        <v>447</v>
      </c>
      <c r="G149" t="s">
        <v>447</v>
      </c>
      <c r="H149" s="6">
        <f>VLOOKUP(A149, '[1]Marini+iDigBio'!$D$2:$J$306, 7, FALSE)</f>
        <v>1135</v>
      </c>
      <c r="I149">
        <v>0</v>
      </c>
      <c r="J149" s="11" t="s">
        <v>762</v>
      </c>
    </row>
    <row r="150" spans="1:10" ht="45" x14ac:dyDescent="0.45">
      <c r="A150" t="s">
        <v>147</v>
      </c>
      <c r="B150" s="8" t="s">
        <v>350</v>
      </c>
      <c r="C150">
        <v>40.205599999999997</v>
      </c>
      <c r="D150">
        <v>-8.4186999999999994</v>
      </c>
      <c r="E150" t="s">
        <v>441</v>
      </c>
      <c r="F150" t="s">
        <v>446</v>
      </c>
      <c r="G150" t="s">
        <v>446</v>
      </c>
      <c r="H150" s="6">
        <f>VLOOKUP(A150, '[1]Marini+iDigBio'!$D$2:$J$306, 7, FALSE)</f>
        <v>1129</v>
      </c>
      <c r="I150">
        <v>0</v>
      </c>
      <c r="J150" s="11" t="s">
        <v>888</v>
      </c>
    </row>
    <row r="151" spans="1:10" x14ac:dyDescent="0.45">
      <c r="A151" t="s">
        <v>148</v>
      </c>
      <c r="B151" s="8" t="s">
        <v>351</v>
      </c>
      <c r="C151">
        <v>-41.286499999999997</v>
      </c>
      <c r="D151">
        <v>174.77619999999999</v>
      </c>
      <c r="E151" t="s">
        <v>438</v>
      </c>
      <c r="F151" t="s">
        <v>448</v>
      </c>
      <c r="G151" t="s">
        <v>448</v>
      </c>
      <c r="H151" s="6">
        <f>VLOOKUP(A151, '[1]Marini+iDigBio'!$D$2:$J$306, 7, FALSE)</f>
        <v>1063.3333333333333</v>
      </c>
      <c r="I151">
        <v>0</v>
      </c>
      <c r="J151" s="11" t="s">
        <v>763</v>
      </c>
    </row>
    <row r="152" spans="1:10" x14ac:dyDescent="0.45">
      <c r="A152" t="s">
        <v>149</v>
      </c>
      <c r="B152" s="8" t="s">
        <v>352</v>
      </c>
      <c r="C152">
        <v>50.082599999999999</v>
      </c>
      <c r="D152">
        <v>8.2398000000000007</v>
      </c>
      <c r="E152" t="s">
        <v>412</v>
      </c>
      <c r="F152" t="s">
        <v>446</v>
      </c>
      <c r="G152" t="s">
        <v>446</v>
      </c>
      <c r="H152" s="6">
        <f>VLOOKUP(A152, '[1]Marini+iDigBio'!$D$2:$J$306, 7, FALSE)</f>
        <v>1030</v>
      </c>
      <c r="I152">
        <v>0</v>
      </c>
      <c r="J152" s="11" t="s">
        <v>764</v>
      </c>
    </row>
    <row r="153" spans="1:10" ht="30" x14ac:dyDescent="0.45">
      <c r="A153" t="s">
        <v>150</v>
      </c>
      <c r="B153" s="8" t="s">
        <v>353</v>
      </c>
      <c r="C153">
        <v>50.744</v>
      </c>
      <c r="D153">
        <v>2.2305000000000001</v>
      </c>
      <c r="E153" t="s">
        <v>425</v>
      </c>
      <c r="F153" t="s">
        <v>446</v>
      </c>
      <c r="G153" t="s">
        <v>446</v>
      </c>
      <c r="H153" s="6">
        <f>VLOOKUP(A153, '[1]Marini+iDigBio'!$D$2:$J$306, 7, FALSE)</f>
        <v>1009</v>
      </c>
      <c r="I153">
        <v>0</v>
      </c>
      <c r="J153" s="11" t="s">
        <v>889</v>
      </c>
    </row>
    <row r="154" spans="1:10" ht="30" x14ac:dyDescent="0.45">
      <c r="A154" t="s">
        <v>151</v>
      </c>
      <c r="B154" s="8" t="s">
        <v>354</v>
      </c>
      <c r="C154">
        <v>-34.604999999999997</v>
      </c>
      <c r="D154">
        <v>-58.4056</v>
      </c>
      <c r="E154" t="s">
        <v>442</v>
      </c>
      <c r="F154" t="s">
        <v>451</v>
      </c>
      <c r="G154" t="s">
        <v>451</v>
      </c>
      <c r="H154" s="6">
        <f>VLOOKUP(A154, '[1]Marini+iDigBio'!$D$2:$J$306, 7, FALSE)</f>
        <v>1000</v>
      </c>
      <c r="I154">
        <v>0</v>
      </c>
      <c r="J154" s="11" t="s">
        <v>765</v>
      </c>
    </row>
    <row r="155" spans="1:10" x14ac:dyDescent="0.45">
      <c r="A155" t="s">
        <v>152</v>
      </c>
      <c r="B155" s="8" t="s">
        <v>355</v>
      </c>
      <c r="C155">
        <v>-22.9068</v>
      </c>
      <c r="D155">
        <v>-43.177999999999997</v>
      </c>
      <c r="E155" t="s">
        <v>433</v>
      </c>
      <c r="F155" t="s">
        <v>451</v>
      </c>
      <c r="G155" t="s">
        <v>451</v>
      </c>
      <c r="H155" s="6">
        <f>VLOOKUP(A155, '[1]Marini+iDigBio'!$D$2:$J$306, 7, FALSE)</f>
        <v>1000</v>
      </c>
      <c r="I155">
        <v>0</v>
      </c>
      <c r="J155" s="11" t="s">
        <v>766</v>
      </c>
    </row>
    <row r="156" spans="1:10" x14ac:dyDescent="0.45">
      <c r="A156" t="s">
        <v>153</v>
      </c>
      <c r="B156" s="8" t="s">
        <v>356</v>
      </c>
      <c r="C156">
        <v>55.686799999999998</v>
      </c>
      <c r="D156">
        <v>37.581099999999999</v>
      </c>
      <c r="E156" t="s">
        <v>422</v>
      </c>
      <c r="F156" t="s">
        <v>449</v>
      </c>
      <c r="G156" t="s">
        <v>653</v>
      </c>
      <c r="H156" s="6">
        <f>VLOOKUP(A156, '[1]Marini+iDigBio'!$D$2:$J$306, 7, FALSE)</f>
        <v>1000</v>
      </c>
      <c r="I156">
        <v>0</v>
      </c>
      <c r="J156" s="11" t="s">
        <v>767</v>
      </c>
    </row>
    <row r="157" spans="1:10" ht="30" x14ac:dyDescent="0.45">
      <c r="A157" t="s">
        <v>154</v>
      </c>
      <c r="B157" s="8" t="s">
        <v>357</v>
      </c>
      <c r="C157">
        <v>52.479700000000001</v>
      </c>
      <c r="D157">
        <v>-1.9025000000000001</v>
      </c>
      <c r="E157" t="s">
        <v>410</v>
      </c>
      <c r="F157" t="s">
        <v>446</v>
      </c>
      <c r="G157" t="s">
        <v>446</v>
      </c>
      <c r="H157" s="6">
        <f>VLOOKUP(A157, '[1]Marini+iDigBio'!$D$2:$J$306, 7, FALSE)</f>
        <v>1000</v>
      </c>
      <c r="I157">
        <v>0</v>
      </c>
      <c r="J157" s="11" t="s">
        <v>768</v>
      </c>
    </row>
    <row r="158" spans="1:10" ht="30" x14ac:dyDescent="0.45">
      <c r="A158" t="s">
        <v>155</v>
      </c>
      <c r="B158" s="8" t="s">
        <v>358</v>
      </c>
      <c r="C158">
        <v>41.661099999999998</v>
      </c>
      <c r="D158">
        <v>-91.530199999999994</v>
      </c>
      <c r="E158" t="s">
        <v>411</v>
      </c>
      <c r="F158" t="s">
        <v>447</v>
      </c>
      <c r="G158" t="s">
        <v>447</v>
      </c>
      <c r="H158" s="6">
        <f>VLOOKUP(A158, '[1]Marini+iDigBio'!$D$2:$J$306, 7, FALSE)</f>
        <v>1000</v>
      </c>
      <c r="I158">
        <v>0</v>
      </c>
      <c r="J158" s="11" t="s">
        <v>769</v>
      </c>
    </row>
    <row r="159" spans="1:10" x14ac:dyDescent="0.45">
      <c r="A159" t="s">
        <v>156</v>
      </c>
      <c r="B159" s="8" t="s">
        <v>359</v>
      </c>
      <c r="C159">
        <v>44.418999999999997</v>
      </c>
      <c r="D159">
        <v>-72.016099999999994</v>
      </c>
      <c r="E159" t="s">
        <v>411</v>
      </c>
      <c r="F159" t="s">
        <v>447</v>
      </c>
      <c r="G159" t="s">
        <v>447</v>
      </c>
      <c r="H159" s="6">
        <f>VLOOKUP(A159, '[1]Marini+iDigBio'!$D$2:$J$306, 7, FALSE)</f>
        <v>1000</v>
      </c>
      <c r="I159">
        <v>0</v>
      </c>
      <c r="J159" s="11" t="s">
        <v>770</v>
      </c>
    </row>
    <row r="160" spans="1:10" ht="30" x14ac:dyDescent="0.45">
      <c r="A160" t="s">
        <v>157</v>
      </c>
      <c r="B160" s="8" t="s">
        <v>360</v>
      </c>
      <c r="C160">
        <v>44.045299999999997</v>
      </c>
      <c r="D160">
        <v>-123.07380000000001</v>
      </c>
      <c r="E160" t="s">
        <v>411</v>
      </c>
      <c r="F160" t="s">
        <v>447</v>
      </c>
      <c r="G160" t="s">
        <v>447</v>
      </c>
      <c r="H160" s="6">
        <f>VLOOKUP(A160, '[1]Marini+iDigBio'!$D$2:$J$306, 7, FALSE)</f>
        <v>1000</v>
      </c>
      <c r="I160">
        <v>0</v>
      </c>
      <c r="J160" s="11" t="s">
        <v>771</v>
      </c>
    </row>
    <row r="161" spans="1:10" ht="30" x14ac:dyDescent="0.45">
      <c r="A161" t="s">
        <v>158</v>
      </c>
      <c r="B161" s="8" t="s">
        <v>361</v>
      </c>
      <c r="C161">
        <v>49.460799999999999</v>
      </c>
      <c r="D161">
        <v>8.1643000000000008</v>
      </c>
      <c r="E161" t="s">
        <v>412</v>
      </c>
      <c r="F161" t="s">
        <v>446</v>
      </c>
      <c r="G161" t="s">
        <v>446</v>
      </c>
      <c r="H161" s="6">
        <f>VLOOKUP(A161, '[1]Marini+iDigBio'!$D$2:$J$306, 7, FALSE)</f>
        <v>1000</v>
      </c>
      <c r="I161">
        <v>0</v>
      </c>
      <c r="J161" s="11" t="s">
        <v>890</v>
      </c>
    </row>
    <row r="162" spans="1:10" x14ac:dyDescent="0.45">
      <c r="A162" t="s">
        <v>159</v>
      </c>
      <c r="B162" s="8" t="s">
        <v>362</v>
      </c>
      <c r="C162">
        <v>46.5197</v>
      </c>
      <c r="D162">
        <v>6.6333000000000002</v>
      </c>
      <c r="E162" t="s">
        <v>418</v>
      </c>
      <c r="F162" t="s">
        <v>446</v>
      </c>
      <c r="G162" t="s">
        <v>446</v>
      </c>
      <c r="H162" s="6">
        <f>VLOOKUP(A162, '[1]Marini+iDigBio'!$D$2:$J$306, 7, FALSE)</f>
        <v>1000</v>
      </c>
      <c r="I162">
        <v>0</v>
      </c>
      <c r="J162" s="11" t="s">
        <v>891</v>
      </c>
    </row>
    <row r="163" spans="1:10" ht="30" x14ac:dyDescent="0.45">
      <c r="A163" t="s">
        <v>160</v>
      </c>
      <c r="B163" s="8" t="s">
        <v>363</v>
      </c>
      <c r="C163">
        <v>52.707299999999996</v>
      </c>
      <c r="D163">
        <v>-2.7549000000000001</v>
      </c>
      <c r="E163" t="s">
        <v>410</v>
      </c>
      <c r="F163" t="s">
        <v>446</v>
      </c>
      <c r="G163" t="s">
        <v>446</v>
      </c>
      <c r="H163" s="6">
        <f>VLOOKUP(A163, '[1]Marini+iDigBio'!$D$2:$J$306, 7, FALSE)</f>
        <v>1000</v>
      </c>
      <c r="I163">
        <v>0</v>
      </c>
      <c r="J163" s="11" t="s">
        <v>892</v>
      </c>
    </row>
    <row r="164" spans="1:10" x14ac:dyDescent="0.45">
      <c r="A164" t="s">
        <v>161</v>
      </c>
      <c r="B164" s="8" t="s">
        <v>364</v>
      </c>
      <c r="C164">
        <v>-34.599699999999999</v>
      </c>
      <c r="D164">
        <v>-58.399000000000001</v>
      </c>
      <c r="E164" t="s">
        <v>442</v>
      </c>
      <c r="F164" t="s">
        <v>451</v>
      </c>
      <c r="G164" t="s">
        <v>451</v>
      </c>
      <c r="H164" s="6">
        <f>VLOOKUP(A164, '[1]Marini+iDigBio'!$D$2:$J$306, 7, FALSE)</f>
        <v>960</v>
      </c>
      <c r="I164">
        <v>0</v>
      </c>
      <c r="J164" s="12"/>
    </row>
    <row r="165" spans="1:10" ht="30" x14ac:dyDescent="0.45">
      <c r="A165" t="s">
        <v>162</v>
      </c>
      <c r="B165" s="8" t="s">
        <v>365</v>
      </c>
      <c r="C165">
        <v>32.231900000000003</v>
      </c>
      <c r="D165">
        <v>-110.95010000000001</v>
      </c>
      <c r="E165" t="s">
        <v>411</v>
      </c>
      <c r="F165" t="s">
        <v>447</v>
      </c>
      <c r="G165" t="s">
        <v>447</v>
      </c>
      <c r="H165" s="6">
        <f>VLOOKUP(A165, '[1]Marini+iDigBio'!$D$2:$J$306, 7, FALSE)</f>
        <v>945</v>
      </c>
      <c r="I165">
        <v>0</v>
      </c>
      <c r="J165" s="11" t="s">
        <v>772</v>
      </c>
    </row>
    <row r="166" spans="1:10" x14ac:dyDescent="0.45">
      <c r="A166" t="s">
        <v>163</v>
      </c>
      <c r="B166" s="8" t="s">
        <v>366</v>
      </c>
      <c r="C166">
        <v>49.9938</v>
      </c>
      <c r="D166">
        <v>8.2472999999999992</v>
      </c>
      <c r="E166" t="s">
        <v>412</v>
      </c>
      <c r="F166" t="s">
        <v>446</v>
      </c>
      <c r="G166" t="s">
        <v>446</v>
      </c>
      <c r="H166" s="6">
        <f>VLOOKUP(A166, '[1]Marini+iDigBio'!$D$2:$J$306, 7, FALSE)</f>
        <v>931</v>
      </c>
      <c r="I166">
        <v>0</v>
      </c>
      <c r="J166" s="11" t="s">
        <v>893</v>
      </c>
    </row>
    <row r="167" spans="1:10" x14ac:dyDescent="0.45">
      <c r="A167" t="s">
        <v>164</v>
      </c>
      <c r="B167" s="8" t="s">
        <v>367</v>
      </c>
      <c r="C167">
        <v>42.367800000000003</v>
      </c>
      <c r="D167">
        <v>-71.070599999999999</v>
      </c>
      <c r="E167" t="s">
        <v>411</v>
      </c>
      <c r="F167" t="s">
        <v>447</v>
      </c>
      <c r="G167" t="s">
        <v>447</v>
      </c>
      <c r="H167" s="6">
        <f>VLOOKUP(A167, '[1]Marini+iDigBio'!$D$2:$J$306, 7, FALSE)</f>
        <v>925</v>
      </c>
      <c r="I167">
        <v>0</v>
      </c>
      <c r="J167" s="11" t="s">
        <v>773</v>
      </c>
    </row>
    <row r="168" spans="1:10" x14ac:dyDescent="0.45">
      <c r="A168" t="s">
        <v>165</v>
      </c>
      <c r="B168" s="8" t="s">
        <v>368</v>
      </c>
      <c r="C168">
        <v>54.896900000000002</v>
      </c>
      <c r="D168">
        <v>23.9039</v>
      </c>
      <c r="E168" t="s">
        <v>443</v>
      </c>
      <c r="F168" t="s">
        <v>449</v>
      </c>
      <c r="G168" t="s">
        <v>449</v>
      </c>
      <c r="H168" s="6">
        <f>VLOOKUP(A168, '[1]Marini+iDigBio'!$D$2:$J$306, 7, FALSE)</f>
        <v>872</v>
      </c>
      <c r="I168">
        <v>0</v>
      </c>
      <c r="J168" s="11" t="s">
        <v>894</v>
      </c>
    </row>
    <row r="169" spans="1:10" ht="45" x14ac:dyDescent="0.45">
      <c r="A169" t="s">
        <v>166</v>
      </c>
      <c r="B169" s="8" t="s">
        <v>369</v>
      </c>
      <c r="C169">
        <v>31.970600000000001</v>
      </c>
      <c r="D169">
        <v>34.768000000000001</v>
      </c>
      <c r="E169" t="s">
        <v>435</v>
      </c>
      <c r="F169" t="s">
        <v>449</v>
      </c>
      <c r="G169" t="s">
        <v>449</v>
      </c>
      <c r="H169" s="6">
        <f>VLOOKUP(A169, '[1]Marini+iDigBio'!$D$2:$J$306, 7, FALSE)</f>
        <v>860</v>
      </c>
      <c r="I169">
        <v>0</v>
      </c>
      <c r="J169" s="11" t="s">
        <v>895</v>
      </c>
    </row>
    <row r="170" spans="1:10" ht="30" x14ac:dyDescent="0.45">
      <c r="A170" t="s">
        <v>167</v>
      </c>
      <c r="B170" s="8" t="s">
        <v>370</v>
      </c>
      <c r="C170">
        <v>-41.435000000000002</v>
      </c>
      <c r="D170">
        <v>147.13999999999999</v>
      </c>
      <c r="E170" t="s">
        <v>417</v>
      </c>
      <c r="F170" t="s">
        <v>448</v>
      </c>
      <c r="G170" t="s">
        <v>448</v>
      </c>
      <c r="H170" s="6">
        <f>VLOOKUP(A170, '[1]Marini+iDigBio'!$D$2:$J$306, 7, FALSE)</f>
        <v>833.33333333333337</v>
      </c>
      <c r="I170">
        <v>0</v>
      </c>
      <c r="J170" s="11" t="s">
        <v>774</v>
      </c>
    </row>
    <row r="171" spans="1:10" x14ac:dyDescent="0.45">
      <c r="A171" t="s">
        <v>168</v>
      </c>
      <c r="B171" s="8" t="s">
        <v>371</v>
      </c>
      <c r="C171">
        <v>48.15</v>
      </c>
      <c r="D171">
        <v>11.591200000000001</v>
      </c>
      <c r="E171" t="s">
        <v>412</v>
      </c>
      <c r="F171" t="s">
        <v>446</v>
      </c>
      <c r="G171" t="s">
        <v>446</v>
      </c>
      <c r="H171" s="6">
        <f>VLOOKUP(A171, '[1]Marini+iDigBio'!$D$2:$J$306, 7, FALSE)</f>
        <v>833.33333333333337</v>
      </c>
      <c r="I171">
        <v>0</v>
      </c>
      <c r="J171" s="11" t="s">
        <v>775</v>
      </c>
    </row>
    <row r="172" spans="1:10" ht="60" x14ac:dyDescent="0.45">
      <c r="A172" t="s">
        <v>169</v>
      </c>
      <c r="B172" s="8" t="s">
        <v>372</v>
      </c>
      <c r="C172">
        <v>49.977400000000003</v>
      </c>
      <c r="D172">
        <v>9.1396999999999995</v>
      </c>
      <c r="E172" t="s">
        <v>412</v>
      </c>
      <c r="F172" t="s">
        <v>446</v>
      </c>
      <c r="G172" t="s">
        <v>446</v>
      </c>
      <c r="H172" s="6">
        <f>VLOOKUP(A172, '[1]Marini+iDigBio'!$D$2:$J$306, 7, FALSE)</f>
        <v>833.33333333333337</v>
      </c>
      <c r="I172">
        <v>0</v>
      </c>
      <c r="J172" s="11" t="s">
        <v>896</v>
      </c>
    </row>
    <row r="173" spans="1:10" ht="30" x14ac:dyDescent="0.45">
      <c r="A173" t="s">
        <v>170</v>
      </c>
      <c r="B173" s="8" t="s">
        <v>373</v>
      </c>
      <c r="C173">
        <v>-26.8369</v>
      </c>
      <c r="D173">
        <v>-65.212900000000005</v>
      </c>
      <c r="E173" t="s">
        <v>442</v>
      </c>
      <c r="F173" t="s">
        <v>451</v>
      </c>
      <c r="G173" t="s">
        <v>451</v>
      </c>
      <c r="H173" s="6">
        <f>VLOOKUP(A173, '[1]Marini+iDigBio'!$D$2:$J$306, 7, FALSE)</f>
        <v>812.33333333333337</v>
      </c>
      <c r="I173">
        <v>0</v>
      </c>
      <c r="J173" s="11" t="s">
        <v>776</v>
      </c>
    </row>
    <row r="174" spans="1:10" x14ac:dyDescent="0.45">
      <c r="A174" t="s">
        <v>171</v>
      </c>
      <c r="B174" s="8" t="s">
        <v>374</v>
      </c>
      <c r="C174">
        <v>49.2928</v>
      </c>
      <c r="D174">
        <v>21.276499999999999</v>
      </c>
      <c r="E174" t="s">
        <v>440</v>
      </c>
      <c r="F174" t="s">
        <v>449</v>
      </c>
      <c r="G174" t="s">
        <v>449</v>
      </c>
      <c r="H174" s="6">
        <f>VLOOKUP(A174, '[1]Marini+iDigBio'!$D$2:$J$306, 7, FALSE)</f>
        <v>800</v>
      </c>
      <c r="I174">
        <v>0</v>
      </c>
      <c r="J174" s="11" t="s">
        <v>777</v>
      </c>
    </row>
    <row r="175" spans="1:10" ht="30" x14ac:dyDescent="0.45">
      <c r="A175" t="s">
        <v>172</v>
      </c>
      <c r="B175" s="8" t="s">
        <v>375</v>
      </c>
      <c r="C175">
        <v>47.395699999999998</v>
      </c>
      <c r="D175">
        <v>8.5200999999999993</v>
      </c>
      <c r="E175" t="s">
        <v>418</v>
      </c>
      <c r="F175" t="s">
        <v>446</v>
      </c>
      <c r="G175" t="s">
        <v>446</v>
      </c>
      <c r="H175" s="6">
        <f>VLOOKUP(A175, '[1]Marini+iDigBio'!$D$2:$J$306, 7, FALSE)</f>
        <v>800</v>
      </c>
      <c r="I175">
        <v>0</v>
      </c>
      <c r="J175" s="11" t="s">
        <v>897</v>
      </c>
    </row>
    <row r="176" spans="1:10" ht="30" x14ac:dyDescent="0.45">
      <c r="A176" t="s">
        <v>173</v>
      </c>
      <c r="B176" s="8" t="s">
        <v>376</v>
      </c>
      <c r="C176">
        <v>41.819000000000003</v>
      </c>
      <c r="D176">
        <v>-72.250600000000006</v>
      </c>
      <c r="E176" t="s">
        <v>411</v>
      </c>
      <c r="F176" t="s">
        <v>447</v>
      </c>
      <c r="G176" t="s">
        <v>447</v>
      </c>
      <c r="H176" s="6">
        <f>VLOOKUP(A176, '[1]Marini+iDigBio'!$D$2:$J$306, 7, FALSE)</f>
        <v>800</v>
      </c>
      <c r="I176">
        <v>0</v>
      </c>
      <c r="J176" s="11" t="s">
        <v>778</v>
      </c>
    </row>
    <row r="177" spans="1:10" x14ac:dyDescent="0.45">
      <c r="A177" t="s">
        <v>174</v>
      </c>
      <c r="B177" s="8" t="s">
        <v>377</v>
      </c>
      <c r="C177">
        <v>43.076599999999999</v>
      </c>
      <c r="D177">
        <v>-89.412499999999994</v>
      </c>
      <c r="E177" t="s">
        <v>411</v>
      </c>
      <c r="F177" t="s">
        <v>447</v>
      </c>
      <c r="G177" t="s">
        <v>447</v>
      </c>
      <c r="H177" s="6">
        <f>VLOOKUP(A177, '[1]Marini+iDigBio'!$D$2:$J$306, 7, FALSE)</f>
        <v>800</v>
      </c>
      <c r="I177">
        <v>0</v>
      </c>
      <c r="J177" s="11" t="s">
        <v>779</v>
      </c>
    </row>
    <row r="178" spans="1:10" x14ac:dyDescent="0.45">
      <c r="A178" t="s">
        <v>175</v>
      </c>
      <c r="B178" s="8" t="s">
        <v>378</v>
      </c>
      <c r="C178">
        <v>52.157899999999998</v>
      </c>
      <c r="D178">
        <v>-106.65819999999999</v>
      </c>
      <c r="E178" t="s">
        <v>420</v>
      </c>
      <c r="F178" t="s">
        <v>447</v>
      </c>
      <c r="G178" t="s">
        <v>447</v>
      </c>
      <c r="H178" s="6">
        <f>VLOOKUP(A178, '[1]Marini+iDigBio'!$D$2:$J$306, 7, FALSE)</f>
        <v>750</v>
      </c>
      <c r="I178">
        <v>0</v>
      </c>
      <c r="J178" s="11" t="s">
        <v>780</v>
      </c>
    </row>
    <row r="179" spans="1:10" x14ac:dyDescent="0.45">
      <c r="A179" t="s">
        <v>176</v>
      </c>
      <c r="B179" s="8" t="s">
        <v>379</v>
      </c>
      <c r="C179">
        <v>47.497900000000001</v>
      </c>
      <c r="D179">
        <v>19.040199999999999</v>
      </c>
      <c r="E179" t="s">
        <v>416</v>
      </c>
      <c r="F179" t="s">
        <v>446</v>
      </c>
      <c r="G179" t="s">
        <v>446</v>
      </c>
      <c r="H179" s="6">
        <f>VLOOKUP(A179, '[1]Marini+iDigBio'!$D$2:$J$306, 7, FALSE)</f>
        <v>739</v>
      </c>
      <c r="I179">
        <v>0</v>
      </c>
      <c r="J179" s="12"/>
    </row>
    <row r="180" spans="1:10" ht="30" x14ac:dyDescent="0.45">
      <c r="A180" t="s">
        <v>177</v>
      </c>
      <c r="B180" s="8" t="s">
        <v>380</v>
      </c>
      <c r="C180">
        <v>40.109299999999998</v>
      </c>
      <c r="D180">
        <v>-88.226500000000001</v>
      </c>
      <c r="E180" t="s">
        <v>411</v>
      </c>
      <c r="F180" t="s">
        <v>447</v>
      </c>
      <c r="G180" t="s">
        <v>447</v>
      </c>
      <c r="H180" s="6">
        <f>VLOOKUP(A180, '[1]Marini+iDigBio'!$D$2:$J$306, 7, FALSE)</f>
        <v>719</v>
      </c>
      <c r="I180">
        <v>0</v>
      </c>
      <c r="J180" s="11" t="s">
        <v>781</v>
      </c>
    </row>
    <row r="181" spans="1:10" x14ac:dyDescent="0.45">
      <c r="A181" t="s">
        <v>178</v>
      </c>
      <c r="B181" s="8" t="s">
        <v>381</v>
      </c>
      <c r="C181">
        <v>35.084400000000002</v>
      </c>
      <c r="D181">
        <v>-106.6504</v>
      </c>
      <c r="E181" t="s">
        <v>411</v>
      </c>
      <c r="F181" t="s">
        <v>447</v>
      </c>
      <c r="G181" t="s">
        <v>447</v>
      </c>
      <c r="H181" s="6">
        <f>VLOOKUP(A181, '[1]Marini+iDigBio'!$D$2:$J$306, 7, FALSE)</f>
        <v>717</v>
      </c>
      <c r="I181">
        <v>0</v>
      </c>
      <c r="J181" s="11" t="s">
        <v>782</v>
      </c>
    </row>
    <row r="182" spans="1:10" ht="30" x14ac:dyDescent="0.45">
      <c r="A182" t="s">
        <v>179</v>
      </c>
      <c r="B182" s="8" t="s">
        <v>382</v>
      </c>
      <c r="C182">
        <v>45.732399999999998</v>
      </c>
      <c r="D182">
        <v>4.8220000000000001</v>
      </c>
      <c r="E182" t="s">
        <v>425</v>
      </c>
      <c r="F182" t="s">
        <v>446</v>
      </c>
      <c r="G182" t="s">
        <v>446</v>
      </c>
      <c r="H182" s="6">
        <f>VLOOKUP(A182, '[1]Marini+iDigBio'!$D$2:$J$306, 7, FALSE)</f>
        <v>713</v>
      </c>
      <c r="I182">
        <v>0</v>
      </c>
      <c r="J182" s="11" t="s">
        <v>783</v>
      </c>
    </row>
    <row r="183" spans="1:10" ht="30" x14ac:dyDescent="0.45">
      <c r="A183" t="s">
        <v>180</v>
      </c>
      <c r="B183" s="8" t="s">
        <v>383</v>
      </c>
      <c r="C183">
        <v>40.265099999999997</v>
      </c>
      <c r="D183">
        <v>-76.884399999999999</v>
      </c>
      <c r="E183" t="s">
        <v>411</v>
      </c>
      <c r="F183" t="s">
        <v>447</v>
      </c>
      <c r="G183" t="s">
        <v>447</v>
      </c>
      <c r="H183" s="6">
        <f>VLOOKUP(A183, '[1]Marini+iDigBio'!$D$2:$J$306, 7, FALSE)</f>
        <v>701</v>
      </c>
      <c r="I183">
        <v>0</v>
      </c>
      <c r="J183" s="11" t="s">
        <v>784</v>
      </c>
    </row>
    <row r="184" spans="1:10" x14ac:dyDescent="0.45">
      <c r="A184" t="s">
        <v>181</v>
      </c>
      <c r="B184" s="8" t="s">
        <v>384</v>
      </c>
      <c r="C184">
        <v>35.200400000000002</v>
      </c>
      <c r="D184">
        <v>-85.920599999999993</v>
      </c>
      <c r="E184" t="s">
        <v>411</v>
      </c>
      <c r="F184" t="s">
        <v>447</v>
      </c>
      <c r="G184" t="s">
        <v>447</v>
      </c>
      <c r="H184" s="6">
        <f>VLOOKUP(A184, '[1]Marini+iDigBio'!$D$2:$J$306, 7, FALSE)</f>
        <v>698</v>
      </c>
      <c r="I184">
        <v>0</v>
      </c>
      <c r="J184" s="11" t="s">
        <v>785</v>
      </c>
    </row>
    <row r="185" spans="1:10" ht="30" x14ac:dyDescent="0.45">
      <c r="A185" t="s">
        <v>182</v>
      </c>
      <c r="B185" s="8" t="s">
        <v>385</v>
      </c>
      <c r="C185">
        <v>23.105599999999999</v>
      </c>
      <c r="D185">
        <v>-82.397199999999998</v>
      </c>
      <c r="E185" t="s">
        <v>444</v>
      </c>
      <c r="F185" t="s">
        <v>449</v>
      </c>
      <c r="G185" t="s">
        <v>449</v>
      </c>
      <c r="H185" s="6">
        <f>VLOOKUP(A185, '[1]Marini+iDigBio'!$D$2:$J$306, 7, FALSE)</f>
        <v>695</v>
      </c>
      <c r="I185">
        <v>0</v>
      </c>
      <c r="J185" s="11" t="s">
        <v>898</v>
      </c>
    </row>
    <row r="186" spans="1:10" x14ac:dyDescent="0.45">
      <c r="A186" t="s">
        <v>183</v>
      </c>
      <c r="B186" s="8" t="s">
        <v>386</v>
      </c>
      <c r="C186">
        <v>40.866500000000002</v>
      </c>
      <c r="D186">
        <v>-124.0818</v>
      </c>
      <c r="E186" t="s">
        <v>411</v>
      </c>
      <c r="F186" t="s">
        <v>447</v>
      </c>
      <c r="G186" t="s">
        <v>447</v>
      </c>
      <c r="H186" s="6">
        <f>VLOOKUP(A186, '[1]Marini+iDigBio'!$D$2:$J$306, 7, FALSE)</f>
        <v>674</v>
      </c>
      <c r="I186">
        <v>1</v>
      </c>
      <c r="J186" s="11" t="s">
        <v>786</v>
      </c>
    </row>
    <row r="187" spans="1:10" ht="30" x14ac:dyDescent="0.45">
      <c r="A187" t="s">
        <v>184</v>
      </c>
      <c r="B187" s="8" t="s">
        <v>387</v>
      </c>
      <c r="C187">
        <v>39.826700000000002</v>
      </c>
      <c r="D187">
        <v>-84.903800000000004</v>
      </c>
      <c r="E187" t="s">
        <v>411</v>
      </c>
      <c r="F187" t="s">
        <v>447</v>
      </c>
      <c r="G187" t="s">
        <v>447</v>
      </c>
      <c r="H187" s="6">
        <f>VLOOKUP(A187, '[1]Marini+iDigBio'!$D$2:$J$306, 7, FALSE)</f>
        <v>673</v>
      </c>
      <c r="I187">
        <v>0</v>
      </c>
      <c r="J187" s="11" t="s">
        <v>787</v>
      </c>
    </row>
    <row r="188" spans="1:10" ht="30" x14ac:dyDescent="0.45">
      <c r="A188" t="s">
        <v>185</v>
      </c>
      <c r="B188" s="8" t="s">
        <v>388</v>
      </c>
      <c r="C188">
        <v>50.927100000000003</v>
      </c>
      <c r="D188">
        <v>11.582000000000001</v>
      </c>
      <c r="E188" t="s">
        <v>412</v>
      </c>
      <c r="F188" t="s">
        <v>446</v>
      </c>
      <c r="G188" t="s">
        <v>446</v>
      </c>
      <c r="H188" s="6">
        <f>VLOOKUP(A188, '[1]Marini+iDigBio'!$D$2:$J$306, 7, FALSE)</f>
        <v>671</v>
      </c>
      <c r="I188">
        <v>0</v>
      </c>
      <c r="J188" s="11" t="s">
        <v>788</v>
      </c>
    </row>
    <row r="189" spans="1:10" ht="30" x14ac:dyDescent="0.45">
      <c r="A189" t="s">
        <v>186</v>
      </c>
      <c r="B189" s="8" t="s">
        <v>389</v>
      </c>
      <c r="C189">
        <v>53.959000000000003</v>
      </c>
      <c r="D189">
        <v>-1.0814999999999999</v>
      </c>
      <c r="E189" t="s">
        <v>410</v>
      </c>
      <c r="F189" t="s">
        <v>446</v>
      </c>
      <c r="G189" t="s">
        <v>446</v>
      </c>
      <c r="H189" s="6">
        <f>VLOOKUP(A189, '[1]Marini+iDigBio'!$D$2:$J$306, 7, FALSE)</f>
        <v>666.66666666666663</v>
      </c>
      <c r="I189">
        <v>0</v>
      </c>
      <c r="J189" s="11" t="s">
        <v>789</v>
      </c>
    </row>
    <row r="190" spans="1:10" x14ac:dyDescent="0.45">
      <c r="A190" t="s">
        <v>187</v>
      </c>
      <c r="B190" s="8" t="s">
        <v>390</v>
      </c>
      <c r="C190">
        <v>42.923699999999997</v>
      </c>
      <c r="D190">
        <v>-78.861199999999997</v>
      </c>
      <c r="E190" t="s">
        <v>411</v>
      </c>
      <c r="F190" t="s">
        <v>447</v>
      </c>
      <c r="G190" t="s">
        <v>447</v>
      </c>
      <c r="H190" s="6">
        <f>VLOOKUP(A190, '[1]Marini+iDigBio'!$D$2:$J$306, 7, FALSE)</f>
        <v>615</v>
      </c>
      <c r="I190">
        <v>0</v>
      </c>
      <c r="J190" s="11" t="s">
        <v>790</v>
      </c>
    </row>
    <row r="191" spans="1:10" ht="30" x14ac:dyDescent="0.45">
      <c r="A191" t="s">
        <v>39</v>
      </c>
      <c r="B191" s="8" t="s">
        <v>240</v>
      </c>
      <c r="C191">
        <v>48.78</v>
      </c>
      <c r="D191">
        <v>9.1829000000000001</v>
      </c>
      <c r="E191" t="s">
        <v>412</v>
      </c>
      <c r="F191" t="s">
        <v>446</v>
      </c>
      <c r="G191" t="s">
        <v>446</v>
      </c>
      <c r="H191" s="6">
        <f>VLOOKUP(A191, '[1]Marini+iDigBio'!$D$2:$J$306, 7, FALSE)</f>
        <v>10000</v>
      </c>
      <c r="I191">
        <v>0</v>
      </c>
      <c r="J191" s="11" t="s">
        <v>688</v>
      </c>
    </row>
    <row r="192" spans="1:10" ht="30" x14ac:dyDescent="0.45">
      <c r="A192" t="s">
        <v>188</v>
      </c>
      <c r="B192" s="8" t="s">
        <v>391</v>
      </c>
      <c r="C192">
        <v>44.973990000000001</v>
      </c>
      <c r="D192">
        <v>-93.227699999999999</v>
      </c>
      <c r="E192" t="s">
        <v>411</v>
      </c>
      <c r="F192" t="s">
        <v>447</v>
      </c>
      <c r="G192" t="s">
        <v>447</v>
      </c>
      <c r="H192" s="6">
        <f>VLOOKUP(A192, '[1]Marini+iDigBio'!$D$2:$J$306, 7, FALSE)</f>
        <v>600</v>
      </c>
      <c r="I192">
        <v>1</v>
      </c>
      <c r="J192" s="11" t="s">
        <v>750</v>
      </c>
    </row>
    <row r="193" spans="1:10" x14ac:dyDescent="0.45">
      <c r="A193" t="s">
        <v>189</v>
      </c>
      <c r="B193" s="8" t="s">
        <v>392</v>
      </c>
      <c r="C193">
        <v>50.0379</v>
      </c>
      <c r="D193">
        <v>21.9998</v>
      </c>
      <c r="E193" t="s">
        <v>430</v>
      </c>
      <c r="F193" t="s">
        <v>446</v>
      </c>
      <c r="G193" t="s">
        <v>446</v>
      </c>
      <c r="H193" s="6">
        <f>VLOOKUP(A193, '[1]Marini+iDigBio'!$D$2:$J$306, 7, FALSE)</f>
        <v>567</v>
      </c>
      <c r="I193">
        <v>0</v>
      </c>
      <c r="J193" s="11" t="s">
        <v>899</v>
      </c>
    </row>
    <row r="194" spans="1:10" x14ac:dyDescent="0.45">
      <c r="A194" t="s">
        <v>190</v>
      </c>
      <c r="B194" s="8" t="s">
        <v>393</v>
      </c>
      <c r="C194">
        <v>37.469700000000003</v>
      </c>
      <c r="D194">
        <v>-105.878</v>
      </c>
      <c r="E194" t="s">
        <v>411</v>
      </c>
      <c r="F194" t="s">
        <v>447</v>
      </c>
      <c r="G194" t="s">
        <v>447</v>
      </c>
      <c r="H194" s="6">
        <f>VLOOKUP(A194, '[1]Marini+iDigBio'!$D$2:$J$306, 7, FALSE)</f>
        <v>566</v>
      </c>
      <c r="I194">
        <v>0</v>
      </c>
      <c r="J194" s="11" t="s">
        <v>791</v>
      </c>
    </row>
    <row r="195" spans="1:10" ht="30" x14ac:dyDescent="0.45">
      <c r="A195" t="s">
        <v>191</v>
      </c>
      <c r="B195" s="8" t="s">
        <v>394</v>
      </c>
      <c r="C195">
        <v>45.814999999999998</v>
      </c>
      <c r="D195">
        <v>15.978</v>
      </c>
      <c r="E195" t="s">
        <v>445</v>
      </c>
      <c r="F195" t="s">
        <v>449</v>
      </c>
      <c r="G195" t="s">
        <v>449</v>
      </c>
      <c r="H195" s="6">
        <f>VLOOKUP(A195, '[1]Marini+iDigBio'!$D$2:$J$306, 7, FALSE)</f>
        <v>557</v>
      </c>
      <c r="I195">
        <v>0</v>
      </c>
      <c r="J195" s="11" t="s">
        <v>900</v>
      </c>
    </row>
    <row r="196" spans="1:10" ht="30" x14ac:dyDescent="0.45">
      <c r="A196" t="s">
        <v>192</v>
      </c>
      <c r="B196" s="8" t="s">
        <v>395</v>
      </c>
      <c r="C196">
        <v>50.976999999999997</v>
      </c>
      <c r="D196">
        <v>11.0299</v>
      </c>
      <c r="E196" t="s">
        <v>412</v>
      </c>
      <c r="F196" t="s">
        <v>446</v>
      </c>
      <c r="G196" t="s">
        <v>446</v>
      </c>
      <c r="H196" s="6">
        <f>VLOOKUP(A196, '[1]Marini+iDigBio'!$D$2:$J$306, 7, FALSE)</f>
        <v>545</v>
      </c>
      <c r="I196">
        <v>0</v>
      </c>
      <c r="J196" s="11" t="s">
        <v>901</v>
      </c>
    </row>
    <row r="197" spans="1:10" ht="30" x14ac:dyDescent="0.45">
      <c r="A197" t="s">
        <v>193</v>
      </c>
      <c r="B197" s="8" t="s">
        <v>396</v>
      </c>
      <c r="C197">
        <v>31.549299999999999</v>
      </c>
      <c r="D197">
        <v>-97.146699999999996</v>
      </c>
      <c r="E197" t="s">
        <v>411</v>
      </c>
      <c r="F197" t="s">
        <v>447</v>
      </c>
      <c r="G197" t="s">
        <v>447</v>
      </c>
      <c r="H197" s="6">
        <f>VLOOKUP(A197, '[1]Marini+iDigBio'!$D$2:$J$306, 7, FALSE)</f>
        <v>541</v>
      </c>
      <c r="I197">
        <v>0</v>
      </c>
      <c r="J197" s="11" t="s">
        <v>792</v>
      </c>
    </row>
    <row r="198" spans="1:10" ht="30" x14ac:dyDescent="0.45">
      <c r="A198" t="s">
        <v>194</v>
      </c>
      <c r="B198" s="8" t="s">
        <v>397</v>
      </c>
      <c r="C198">
        <v>-15.763299999999999</v>
      </c>
      <c r="D198">
        <v>-47.882800000000003</v>
      </c>
      <c r="E198" t="s">
        <v>433</v>
      </c>
      <c r="F198" t="s">
        <v>451</v>
      </c>
      <c r="G198" t="s">
        <v>451</v>
      </c>
      <c r="H198" s="6">
        <f>VLOOKUP(A198, '[1]Marini+iDigBio'!$D$2:$J$306, 7, FALSE)</f>
        <v>531</v>
      </c>
      <c r="I198">
        <v>0</v>
      </c>
      <c r="J198" s="11" t="s">
        <v>793</v>
      </c>
    </row>
    <row r="199" spans="1:10" ht="30" x14ac:dyDescent="0.45">
      <c r="A199" t="s">
        <v>195</v>
      </c>
      <c r="B199" s="8" t="s">
        <v>398</v>
      </c>
      <c r="C199">
        <v>45.7973</v>
      </c>
      <c r="D199">
        <v>24.142800000000001</v>
      </c>
      <c r="E199" t="s">
        <v>439</v>
      </c>
      <c r="F199" t="s">
        <v>449</v>
      </c>
      <c r="G199" t="s">
        <v>449</v>
      </c>
      <c r="H199" s="6">
        <f>VLOOKUP(A199, '[1]Marini+iDigBio'!$D$2:$J$306, 7, FALSE)</f>
        <v>525</v>
      </c>
      <c r="I199">
        <v>0</v>
      </c>
      <c r="J199" s="11" t="s">
        <v>794</v>
      </c>
    </row>
    <row r="200" spans="1:10" ht="30" x14ac:dyDescent="0.45">
      <c r="A200" t="s">
        <v>196</v>
      </c>
      <c r="B200" s="8" t="s">
        <v>399</v>
      </c>
      <c r="C200">
        <v>46.802799999999998</v>
      </c>
      <c r="D200">
        <v>7.1516000000000002</v>
      </c>
      <c r="E200" t="s">
        <v>418</v>
      </c>
      <c r="F200" t="s">
        <v>446</v>
      </c>
      <c r="G200" t="s">
        <v>446</v>
      </c>
      <c r="H200" s="6">
        <f>VLOOKUP(A200, '[1]Marini+iDigBio'!$D$2:$J$306, 7, FALSE)</f>
        <v>515</v>
      </c>
      <c r="I200">
        <v>0</v>
      </c>
      <c r="J200" s="11" t="s">
        <v>795</v>
      </c>
    </row>
    <row r="201" spans="1:10" ht="30" x14ac:dyDescent="0.45">
      <c r="A201" t="s">
        <v>197</v>
      </c>
      <c r="B201" s="8" t="s">
        <v>400</v>
      </c>
      <c r="C201">
        <v>-34.920499999999997</v>
      </c>
      <c r="D201">
        <v>-57.954500000000003</v>
      </c>
      <c r="E201" t="s">
        <v>442</v>
      </c>
      <c r="F201" t="s">
        <v>451</v>
      </c>
      <c r="G201" t="s">
        <v>451</v>
      </c>
      <c r="H201" s="6">
        <f>VLOOKUP(A201, '[1]Marini+iDigBio'!$D$2:$J$306, 7, FALSE)</f>
        <v>500</v>
      </c>
      <c r="I201">
        <v>0</v>
      </c>
      <c r="J201" s="11" t="s">
        <v>796</v>
      </c>
    </row>
    <row r="202" spans="1:10" ht="30" x14ac:dyDescent="0.45">
      <c r="A202" t="s">
        <v>198</v>
      </c>
      <c r="B202" s="8" t="s">
        <v>401</v>
      </c>
      <c r="C202">
        <v>48.523600000000002</v>
      </c>
      <c r="D202">
        <v>9.0549999999999997</v>
      </c>
      <c r="E202" t="s">
        <v>412</v>
      </c>
      <c r="F202" t="s">
        <v>446</v>
      </c>
      <c r="G202" t="s">
        <v>446</v>
      </c>
      <c r="H202" s="6">
        <f>VLOOKUP(A202, '[1]Marini+iDigBio'!$D$2:$J$306, 7, FALSE)</f>
        <v>500</v>
      </c>
      <c r="I202">
        <v>0</v>
      </c>
      <c r="J202" s="11" t="s">
        <v>797</v>
      </c>
    </row>
    <row r="203" spans="1:10" x14ac:dyDescent="0.45">
      <c r="A203" t="s">
        <v>199</v>
      </c>
      <c r="B203" s="8" t="s">
        <v>402</v>
      </c>
      <c r="C203">
        <v>46.729599999999998</v>
      </c>
      <c r="D203">
        <v>-92.104100000000003</v>
      </c>
      <c r="E203" t="s">
        <v>411</v>
      </c>
      <c r="F203" t="s">
        <v>447</v>
      </c>
      <c r="G203" t="s">
        <v>447</v>
      </c>
      <c r="H203" s="6">
        <f>VLOOKUP(A203, '[1]Marini+iDigBio'!$D$2:$J$306, 7, FALSE)</f>
        <v>500</v>
      </c>
      <c r="I203">
        <v>0</v>
      </c>
      <c r="J203" s="11" t="s">
        <v>902</v>
      </c>
    </row>
    <row r="204" spans="1:10" x14ac:dyDescent="0.45">
      <c r="A204" t="s">
        <v>200</v>
      </c>
      <c r="B204" s="8" t="s">
        <v>403</v>
      </c>
      <c r="C204">
        <v>51.922499999999999</v>
      </c>
      <c r="D204">
        <v>4.4791999999999996</v>
      </c>
      <c r="E204" t="s">
        <v>413</v>
      </c>
      <c r="F204" t="s">
        <v>446</v>
      </c>
      <c r="G204" t="s">
        <v>446</v>
      </c>
      <c r="H204" s="6">
        <f>VLOOKUP(A204, '[1]Marini+iDigBio'!$D$2:$J$306, 7, FALSE)</f>
        <v>500</v>
      </c>
      <c r="I204">
        <v>0</v>
      </c>
      <c r="J204" s="11" t="s">
        <v>903</v>
      </c>
    </row>
    <row r="205" spans="1:10" x14ac:dyDescent="0.45">
      <c r="A205" t="s">
        <v>201</v>
      </c>
      <c r="B205" s="8" t="s">
        <v>404</v>
      </c>
      <c r="C205">
        <v>44.1051</v>
      </c>
      <c r="D205">
        <v>-70.209100000000007</v>
      </c>
      <c r="E205" t="s">
        <v>411</v>
      </c>
      <c r="F205" t="s">
        <v>447</v>
      </c>
      <c r="G205" t="s">
        <v>447</v>
      </c>
      <c r="H205" s="6">
        <f>VLOOKUP(A205, '[1]Marini+iDigBio'!$D$2:$J$306, 7, FALSE)</f>
        <v>500</v>
      </c>
      <c r="I205">
        <v>0</v>
      </c>
      <c r="J205" s="11" t="s">
        <v>798</v>
      </c>
    </row>
    <row r="206" spans="1:10" ht="30" x14ac:dyDescent="0.45">
      <c r="A206" t="s">
        <v>202</v>
      </c>
      <c r="B206" s="8" t="s">
        <v>405</v>
      </c>
      <c r="C206">
        <v>39.952599999999997</v>
      </c>
      <c r="D206">
        <v>-75.165199999999999</v>
      </c>
      <c r="E206" t="s">
        <v>411</v>
      </c>
      <c r="F206" t="s">
        <v>447</v>
      </c>
      <c r="G206" t="s">
        <v>447</v>
      </c>
      <c r="H206" s="6">
        <f>VLOOKUP(A206, '[1]Marini+iDigBio'!$D$2:$J$306, 7, FALSE)</f>
        <v>500</v>
      </c>
      <c r="I206">
        <v>0</v>
      </c>
      <c r="J206" s="11" t="s">
        <v>904</v>
      </c>
    </row>
    <row r="207" spans="1:10" ht="30" x14ac:dyDescent="0.45">
      <c r="A207" t="s">
        <v>203</v>
      </c>
      <c r="B207" s="8" t="s">
        <v>406</v>
      </c>
      <c r="C207">
        <v>43.161000000000001</v>
      </c>
      <c r="D207">
        <v>-77.610900000000001</v>
      </c>
      <c r="E207" t="s">
        <v>411</v>
      </c>
      <c r="F207" t="s">
        <v>447</v>
      </c>
      <c r="G207" t="s">
        <v>447</v>
      </c>
      <c r="H207" s="6">
        <f>VLOOKUP(A207, '[1]Marini+iDigBio'!$D$2:$J$306, 7, FALSE)</f>
        <v>500</v>
      </c>
      <c r="I207">
        <v>0</v>
      </c>
      <c r="J207" s="11" t="s">
        <v>799</v>
      </c>
    </row>
    <row r="208" spans="1:10" x14ac:dyDescent="0.45">
      <c r="A208" t="s">
        <v>204</v>
      </c>
      <c r="B208" s="8" t="s">
        <v>407</v>
      </c>
      <c r="C208">
        <v>25.721599999999999</v>
      </c>
      <c r="D208">
        <v>-80.278199999999998</v>
      </c>
      <c r="E208" t="s">
        <v>411</v>
      </c>
      <c r="F208" t="s">
        <v>447</v>
      </c>
      <c r="G208" t="s">
        <v>447</v>
      </c>
      <c r="H208" s="6">
        <f>VLOOKUP(A208, '[1]Marini+iDigBio'!$D$2:$J$306, 7, FALSE)</f>
        <v>500</v>
      </c>
      <c r="I208">
        <v>0</v>
      </c>
      <c r="J208" s="11" t="s">
        <v>800</v>
      </c>
    </row>
    <row r="209" spans="1:10" x14ac:dyDescent="0.45">
      <c r="A209" t="s">
        <v>205</v>
      </c>
      <c r="B209" s="8" t="s">
        <v>408</v>
      </c>
      <c r="C209">
        <v>38.5732</v>
      </c>
      <c r="D209">
        <v>-122.4528</v>
      </c>
      <c r="E209" t="s">
        <v>411</v>
      </c>
      <c r="F209" t="s">
        <v>447</v>
      </c>
      <c r="G209" t="s">
        <v>447</v>
      </c>
      <c r="H209" s="6">
        <f>VLOOKUP(A209, '[1]Marini+iDigBio'!$D$2:$J$306, 7, FALSE)</f>
        <v>500</v>
      </c>
      <c r="I209">
        <v>0</v>
      </c>
      <c r="J209" s="11" t="s">
        <v>801</v>
      </c>
    </row>
    <row r="210" spans="1:10" x14ac:dyDescent="0.45">
      <c r="A210" t="s">
        <v>206</v>
      </c>
      <c r="B210" s="8" t="s">
        <v>409</v>
      </c>
      <c r="C210">
        <v>-33.888599999999997</v>
      </c>
      <c r="D210">
        <v>151.18729999999999</v>
      </c>
      <c r="E210" t="s">
        <v>417</v>
      </c>
      <c r="F210" t="s">
        <v>448</v>
      </c>
      <c r="G210" t="s">
        <v>448</v>
      </c>
      <c r="H210" s="6">
        <f>VLOOKUP(A210, '[1]Marini+iDigBio'!$D$2:$J$306, 7, FALSE)</f>
        <v>500</v>
      </c>
      <c r="I210">
        <v>0</v>
      </c>
      <c r="J210" s="11" t="s">
        <v>802</v>
      </c>
    </row>
    <row r="211" spans="1:10" ht="15.75" x14ac:dyDescent="0.45">
      <c r="A211" s="2" t="s">
        <v>452</v>
      </c>
      <c r="B211" s="8" t="s">
        <v>545</v>
      </c>
      <c r="C211">
        <v>9.9326000000000008</v>
      </c>
      <c r="D211">
        <v>-84.073999999999998</v>
      </c>
      <c r="E211" t="s">
        <v>546</v>
      </c>
      <c r="F211" t="s">
        <v>447</v>
      </c>
      <c r="G211" t="s">
        <v>447</v>
      </c>
      <c r="H211" s="6">
        <f>VLOOKUP(A211, '[1]Marini+iDigBio'!$D$2:$J$306, 7, FALSE)</f>
        <v>491</v>
      </c>
      <c r="I211" t="e">
        <v>#N/A</v>
      </c>
      <c r="J211" s="11" t="s">
        <v>803</v>
      </c>
    </row>
    <row r="212" spans="1:10" ht="30" x14ac:dyDescent="0.45">
      <c r="A212" s="2" t="s">
        <v>453</v>
      </c>
      <c r="B212" s="8" t="s">
        <v>547</v>
      </c>
      <c r="C212">
        <v>34.126600000000003</v>
      </c>
      <c r="D212">
        <v>-118.2118</v>
      </c>
      <c r="E212" t="s">
        <v>411</v>
      </c>
      <c r="F212" t="s">
        <v>447</v>
      </c>
      <c r="G212" t="s">
        <v>447</v>
      </c>
      <c r="H212" s="6">
        <f>VLOOKUP(A212, '[1]Marini+iDigBio'!$D$2:$J$306, 7, FALSE)</f>
        <v>483</v>
      </c>
      <c r="I212" t="e">
        <v>#N/A</v>
      </c>
      <c r="J212" s="11" t="s">
        <v>905</v>
      </c>
    </row>
    <row r="213" spans="1:10" ht="31.5" x14ac:dyDescent="0.45">
      <c r="A213" s="2" t="s">
        <v>454</v>
      </c>
      <c r="B213" s="8" t="s">
        <v>548</v>
      </c>
      <c r="C213">
        <v>49.839700000000001</v>
      </c>
      <c r="D213">
        <v>24.029699999999998</v>
      </c>
      <c r="E213" t="s">
        <v>549</v>
      </c>
      <c r="F213" t="s">
        <v>446</v>
      </c>
      <c r="G213" t="s">
        <v>446</v>
      </c>
      <c r="H213" s="6">
        <f>VLOOKUP(A213, '[1]Marini+iDigBio'!$D$2:$J$306, 7, FALSE)</f>
        <v>476</v>
      </c>
      <c r="I213" t="e">
        <v>#N/A</v>
      </c>
      <c r="J213" s="11" t="s">
        <v>906</v>
      </c>
    </row>
    <row r="214" spans="1:10" ht="31.5" x14ac:dyDescent="0.45">
      <c r="A214" s="2" t="s">
        <v>455</v>
      </c>
      <c r="B214" s="8" t="s">
        <v>550</v>
      </c>
      <c r="C214">
        <v>31.766999999999999</v>
      </c>
      <c r="D214">
        <v>-106.503</v>
      </c>
      <c r="E214" t="s">
        <v>411</v>
      </c>
      <c r="F214" t="s">
        <v>447</v>
      </c>
      <c r="G214" t="s">
        <v>447</v>
      </c>
      <c r="H214" s="6">
        <f>VLOOKUP(A214, '[1]Marini+iDigBio'!$D$2:$J$306, 7, FALSE)</f>
        <v>470</v>
      </c>
      <c r="I214" t="e">
        <v>#N/A</v>
      </c>
      <c r="J214" s="11" t="s">
        <v>804</v>
      </c>
    </row>
    <row r="215" spans="1:10" ht="15.75" x14ac:dyDescent="0.45">
      <c r="A215" s="2" t="s">
        <v>456</v>
      </c>
      <c r="B215" s="8" t="s">
        <v>551</v>
      </c>
      <c r="C215">
        <v>50.846699999999998</v>
      </c>
      <c r="D215">
        <v>5.6901000000000002</v>
      </c>
      <c r="E215" t="s">
        <v>413</v>
      </c>
      <c r="F215" t="s">
        <v>446</v>
      </c>
      <c r="G215" t="s">
        <v>446</v>
      </c>
      <c r="H215" s="6">
        <f>VLOOKUP(A215, '[1]Marini+iDigBio'!$D$2:$J$306, 7, FALSE)</f>
        <v>456.66666666666669</v>
      </c>
      <c r="I215" t="e">
        <v>#N/A</v>
      </c>
      <c r="J215" s="11" t="s">
        <v>805</v>
      </c>
    </row>
    <row r="216" spans="1:10" ht="15.75" x14ac:dyDescent="0.45">
      <c r="A216" s="2" t="s">
        <v>457</v>
      </c>
      <c r="B216" s="8" t="s">
        <v>552</v>
      </c>
      <c r="C216">
        <v>36.302599999999998</v>
      </c>
      <c r="D216">
        <v>-82.372799999999998</v>
      </c>
      <c r="E216" t="s">
        <v>411</v>
      </c>
      <c r="F216" t="s">
        <v>447</v>
      </c>
      <c r="G216" t="s">
        <v>447</v>
      </c>
      <c r="H216" s="6">
        <f>VLOOKUP(A216, '[1]Marini+iDigBio'!$D$2:$J$306, 7, FALSE)</f>
        <v>450</v>
      </c>
      <c r="I216" t="e">
        <v>#N/A</v>
      </c>
      <c r="J216" s="11" t="s">
        <v>806</v>
      </c>
    </row>
    <row r="217" spans="1:10" ht="15.75" x14ac:dyDescent="0.45">
      <c r="A217" s="2" t="s">
        <v>458</v>
      </c>
      <c r="B217" s="8" t="s">
        <v>553</v>
      </c>
      <c r="C217">
        <v>44.523600000000002</v>
      </c>
      <c r="D217">
        <v>-89.574600000000004</v>
      </c>
      <c r="E217" t="s">
        <v>411</v>
      </c>
      <c r="F217" t="s">
        <v>447</v>
      </c>
      <c r="G217" t="s">
        <v>447</v>
      </c>
      <c r="H217" s="6">
        <f>VLOOKUP(A217, '[1]Marini+iDigBio'!$D$2:$J$306, 7, FALSE)</f>
        <v>425</v>
      </c>
      <c r="I217" t="e">
        <v>#N/A</v>
      </c>
      <c r="J217" s="11" t="s">
        <v>807</v>
      </c>
    </row>
    <row r="218" spans="1:10" ht="15.75" x14ac:dyDescent="0.45">
      <c r="A218" s="2" t="s">
        <v>459</v>
      </c>
      <c r="B218" s="8" t="s">
        <v>554</v>
      </c>
      <c r="C218">
        <v>50.4452</v>
      </c>
      <c r="D218">
        <v>-104.6189</v>
      </c>
      <c r="E218" t="s">
        <v>420</v>
      </c>
      <c r="F218" t="s">
        <v>447</v>
      </c>
      <c r="G218" t="s">
        <v>447</v>
      </c>
      <c r="H218" s="6">
        <f>VLOOKUP(A218, '[1]Marini+iDigBio'!$D$2:$J$306, 7, FALSE)</f>
        <v>417</v>
      </c>
      <c r="I218" t="e">
        <v>#N/A</v>
      </c>
      <c r="J218" s="11" t="s">
        <v>808</v>
      </c>
    </row>
    <row r="219" spans="1:10" ht="15.75" x14ac:dyDescent="0.45">
      <c r="A219" s="2" t="s">
        <v>460</v>
      </c>
      <c r="B219" s="8" t="s">
        <v>555</v>
      </c>
      <c r="C219">
        <v>-42.882100000000001</v>
      </c>
      <c r="D219">
        <v>147.33170000000001</v>
      </c>
      <c r="E219" t="s">
        <v>417</v>
      </c>
      <c r="F219" t="s">
        <v>417</v>
      </c>
      <c r="G219" t="s">
        <v>417</v>
      </c>
      <c r="H219" s="6">
        <f>VLOOKUP(A219, '[1]Marini+iDigBio'!$D$2:$J$306, 7, FALSE)</f>
        <v>416.66666666666669</v>
      </c>
      <c r="I219" t="e">
        <v>#N/A</v>
      </c>
      <c r="J219" s="11" t="s">
        <v>809</v>
      </c>
    </row>
    <row r="220" spans="1:10" ht="31.5" x14ac:dyDescent="0.45">
      <c r="A220" s="2" t="s">
        <v>461</v>
      </c>
      <c r="B220" s="8" t="s">
        <v>556</v>
      </c>
      <c r="C220">
        <v>45.267099999999999</v>
      </c>
      <c r="D220">
        <v>19.833500000000001</v>
      </c>
      <c r="E220" t="s">
        <v>557</v>
      </c>
      <c r="F220" t="s">
        <v>446</v>
      </c>
      <c r="G220" t="s">
        <v>446</v>
      </c>
      <c r="H220" s="6">
        <f>VLOOKUP(A220, '[1]Marini+iDigBio'!$D$2:$J$306, 7, FALSE)</f>
        <v>405</v>
      </c>
      <c r="I220" t="e">
        <v>#N/A</v>
      </c>
      <c r="J220" s="11" t="s">
        <v>907</v>
      </c>
    </row>
    <row r="221" spans="1:10" ht="15.75" x14ac:dyDescent="0.45">
      <c r="A221" s="2" t="s">
        <v>462</v>
      </c>
      <c r="B221" s="8" t="s">
        <v>558</v>
      </c>
      <c r="C221">
        <v>44.817599999999999</v>
      </c>
      <c r="D221">
        <v>20.456900000000001</v>
      </c>
      <c r="E221" t="s">
        <v>557</v>
      </c>
      <c r="F221" t="s">
        <v>446</v>
      </c>
      <c r="G221" t="s">
        <v>446</v>
      </c>
      <c r="H221" s="6">
        <f>VLOOKUP(A221, '[1]Marini+iDigBio'!$D$2:$J$306, 7, FALSE)</f>
        <v>405</v>
      </c>
      <c r="I221" t="e">
        <v>#N/A</v>
      </c>
      <c r="J221" s="11" t="s">
        <v>810</v>
      </c>
    </row>
    <row r="222" spans="1:10" ht="15.75" x14ac:dyDescent="0.45">
      <c r="A222" s="2" t="s">
        <v>463</v>
      </c>
      <c r="B222" s="8" t="s">
        <v>559</v>
      </c>
      <c r="C222">
        <v>55.703299999999999</v>
      </c>
      <c r="D222">
        <v>37.530200000000001</v>
      </c>
      <c r="E222" t="s">
        <v>422</v>
      </c>
      <c r="F222" t="s">
        <v>446</v>
      </c>
      <c r="G222" t="s">
        <v>653</v>
      </c>
      <c r="H222" s="6">
        <f>VLOOKUP(A222, '[1]Marini+iDigBio'!$D$2:$J$306, 7, FALSE)</f>
        <v>400</v>
      </c>
      <c r="I222" t="e">
        <v>#N/A</v>
      </c>
      <c r="J222" s="11" t="s">
        <v>908</v>
      </c>
    </row>
    <row r="223" spans="1:10" ht="15.75" x14ac:dyDescent="0.45">
      <c r="A223" s="2" t="s">
        <v>464</v>
      </c>
      <c r="B223" s="8" t="s">
        <v>560</v>
      </c>
      <c r="C223">
        <v>41.9878</v>
      </c>
      <c r="D223">
        <v>-91.659099999999995</v>
      </c>
      <c r="E223" t="s">
        <v>411</v>
      </c>
      <c r="F223" t="s">
        <v>447</v>
      </c>
      <c r="G223" t="s">
        <v>447</v>
      </c>
      <c r="H223" s="6">
        <f>VLOOKUP(A223, '[1]Marini+iDigBio'!$D$2:$J$306, 7, FALSE)</f>
        <v>400</v>
      </c>
      <c r="I223" t="e">
        <v>#N/A</v>
      </c>
      <c r="J223" s="11" t="s">
        <v>811</v>
      </c>
    </row>
    <row r="224" spans="1:10" ht="15.75" x14ac:dyDescent="0.45">
      <c r="A224" s="2" t="s">
        <v>465</v>
      </c>
      <c r="B224" s="8" t="s">
        <v>561</v>
      </c>
      <c r="C224">
        <v>32.311300000000003</v>
      </c>
      <c r="D224">
        <v>-90.149500000000003</v>
      </c>
      <c r="E224" t="s">
        <v>411</v>
      </c>
      <c r="F224" t="s">
        <v>447</v>
      </c>
      <c r="G224" t="s">
        <v>447</v>
      </c>
      <c r="H224" s="6">
        <f>VLOOKUP(A224, '[1]Marini+iDigBio'!$D$2:$J$306, 7, FALSE)</f>
        <v>392</v>
      </c>
      <c r="I224" t="e">
        <v>#N/A</v>
      </c>
      <c r="J224" s="11" t="s">
        <v>812</v>
      </c>
    </row>
    <row r="225" spans="1:10" ht="31.5" x14ac:dyDescent="0.45">
      <c r="A225" s="2" t="s">
        <v>466</v>
      </c>
      <c r="B225" s="8" t="s">
        <v>562</v>
      </c>
      <c r="C225">
        <v>42.521799999999999</v>
      </c>
      <c r="D225">
        <v>-70.898499999999999</v>
      </c>
      <c r="E225" t="s">
        <v>411</v>
      </c>
      <c r="F225" t="s">
        <v>447</v>
      </c>
      <c r="G225" t="s">
        <v>447</v>
      </c>
      <c r="H225" s="6">
        <f>VLOOKUP(A225, '[1]Marini+iDigBio'!$D$2:$J$306, 7, FALSE)</f>
        <v>392</v>
      </c>
      <c r="I225" t="e">
        <v>#N/A</v>
      </c>
      <c r="J225" s="11" t="s">
        <v>813</v>
      </c>
    </row>
    <row r="226" spans="1:10" ht="15.75" x14ac:dyDescent="0.45">
      <c r="A226" s="2" t="s">
        <v>467</v>
      </c>
      <c r="B226" s="8" t="s">
        <v>563</v>
      </c>
      <c r="C226">
        <v>42.860100000000003</v>
      </c>
      <c r="D226">
        <v>-112.4319</v>
      </c>
      <c r="E226" t="s">
        <v>411</v>
      </c>
      <c r="F226" t="s">
        <v>447</v>
      </c>
      <c r="G226" t="s">
        <v>447</v>
      </c>
      <c r="H226" s="6">
        <f>VLOOKUP(A226, '[1]Marini+iDigBio'!$D$2:$J$306, 7, FALSE)</f>
        <v>385</v>
      </c>
      <c r="I226" t="e">
        <v>#N/A</v>
      </c>
      <c r="J226" s="11" t="s">
        <v>814</v>
      </c>
    </row>
    <row r="227" spans="1:10" ht="15.75" x14ac:dyDescent="0.45">
      <c r="A227" s="2" t="s">
        <v>468</v>
      </c>
      <c r="B227" s="8" t="s">
        <v>564</v>
      </c>
      <c r="C227">
        <v>44.648800000000001</v>
      </c>
      <c r="D227">
        <v>-63.575200000000002</v>
      </c>
      <c r="E227" t="s">
        <v>420</v>
      </c>
      <c r="F227" t="s">
        <v>447</v>
      </c>
      <c r="G227" t="s">
        <v>447</v>
      </c>
      <c r="H227" s="6">
        <f>VLOOKUP(A227, '[1]Marini+iDigBio'!$D$2:$J$306, 7, FALSE)</f>
        <v>377</v>
      </c>
      <c r="I227" t="e">
        <v>#N/A</v>
      </c>
      <c r="J227" s="11" t="s">
        <v>815</v>
      </c>
    </row>
    <row r="228" spans="1:10" ht="30" x14ac:dyDescent="0.45">
      <c r="A228" s="2" t="s">
        <v>469</v>
      </c>
      <c r="B228" s="8" t="s">
        <v>565</v>
      </c>
      <c r="C228">
        <v>43.716700000000003</v>
      </c>
      <c r="D228">
        <v>10.4</v>
      </c>
      <c r="E228" t="s">
        <v>432</v>
      </c>
      <c r="F228" t="s">
        <v>446</v>
      </c>
      <c r="G228" t="s">
        <v>446</v>
      </c>
      <c r="H228" s="6">
        <f>VLOOKUP(A228, '[1]Marini+iDigBio'!$D$2:$J$306, 7, FALSE)</f>
        <v>366.66666666666669</v>
      </c>
      <c r="I228" t="e">
        <v>#N/A</v>
      </c>
      <c r="J228" s="11" t="s">
        <v>909</v>
      </c>
    </row>
    <row r="229" spans="1:10" ht="15.75" x14ac:dyDescent="0.45">
      <c r="A229" s="2" t="s">
        <v>470</v>
      </c>
      <c r="B229" s="8" t="s">
        <v>566</v>
      </c>
      <c r="C229">
        <v>30.4419</v>
      </c>
      <c r="D229">
        <v>-84.298500000000004</v>
      </c>
      <c r="E229" t="s">
        <v>411</v>
      </c>
      <c r="F229" t="s">
        <v>447</v>
      </c>
      <c r="G229" t="s">
        <v>447</v>
      </c>
      <c r="H229" s="6">
        <f>VLOOKUP(A229, '[1]Marini+iDigBio'!$D$2:$J$306, 7, FALSE)</f>
        <v>362</v>
      </c>
      <c r="I229" t="e">
        <v>#N/A</v>
      </c>
      <c r="J229" s="11" t="s">
        <v>816</v>
      </c>
    </row>
    <row r="230" spans="1:10" ht="15.75" x14ac:dyDescent="0.45">
      <c r="A230" s="2" t="s">
        <v>471</v>
      </c>
      <c r="B230" s="8" t="s">
        <v>567</v>
      </c>
      <c r="C230">
        <v>44.899099999999997</v>
      </c>
      <c r="D230">
        <v>-68.667400000000001</v>
      </c>
      <c r="E230" t="s">
        <v>411</v>
      </c>
      <c r="F230" t="s">
        <v>447</v>
      </c>
      <c r="G230" t="s">
        <v>447</v>
      </c>
      <c r="H230" s="6">
        <f>VLOOKUP(A230, '[1]Marini+iDigBio'!$D$2:$J$306, 7, FALSE)</f>
        <v>360</v>
      </c>
      <c r="I230" t="e">
        <v>#N/A</v>
      </c>
      <c r="J230" s="11" t="s">
        <v>817</v>
      </c>
    </row>
    <row r="231" spans="1:10" ht="15.75" x14ac:dyDescent="0.45">
      <c r="A231" s="2" t="s">
        <v>472</v>
      </c>
      <c r="B231" s="8" t="s">
        <v>568</v>
      </c>
      <c r="C231">
        <v>47.070700000000002</v>
      </c>
      <c r="D231">
        <v>15.439500000000001</v>
      </c>
      <c r="E231" t="s">
        <v>421</v>
      </c>
      <c r="F231" t="s">
        <v>446</v>
      </c>
      <c r="G231" t="s">
        <v>446</v>
      </c>
      <c r="H231" s="6">
        <f>VLOOKUP(A231, '[1]Marini+iDigBio'!$D$2:$J$306, 7, FALSE)</f>
        <v>350</v>
      </c>
      <c r="I231" t="e">
        <v>#N/A</v>
      </c>
      <c r="J231" s="11" t="s">
        <v>818</v>
      </c>
    </row>
    <row r="232" spans="1:10" ht="15.75" x14ac:dyDescent="0.45">
      <c r="A232" s="2" t="s">
        <v>473</v>
      </c>
      <c r="B232" s="8" t="s">
        <v>569</v>
      </c>
      <c r="C232">
        <v>43.769599999999997</v>
      </c>
      <c r="D232">
        <v>11.255800000000001</v>
      </c>
      <c r="E232" t="s">
        <v>432</v>
      </c>
      <c r="F232" t="s">
        <v>446</v>
      </c>
      <c r="G232" t="s">
        <v>446</v>
      </c>
      <c r="H232" s="6">
        <f>VLOOKUP(A232, '[1]Marini+iDigBio'!$D$2:$J$306, 7, FALSE)</f>
        <v>350</v>
      </c>
      <c r="I232" t="e">
        <v>#N/A</v>
      </c>
      <c r="J232" s="11" t="s">
        <v>819</v>
      </c>
    </row>
    <row r="233" spans="1:10" ht="15.75" x14ac:dyDescent="0.45">
      <c r="A233" s="2" t="s">
        <v>474</v>
      </c>
      <c r="B233" s="8" t="s">
        <v>570</v>
      </c>
      <c r="C233">
        <v>41.5364</v>
      </c>
      <c r="D233">
        <v>-90.590100000000007</v>
      </c>
      <c r="E233" t="s">
        <v>411</v>
      </c>
      <c r="F233" t="s">
        <v>447</v>
      </c>
      <c r="G233" t="s">
        <v>447</v>
      </c>
      <c r="H233" s="6">
        <f>VLOOKUP(A233, '[1]Marini+iDigBio'!$D$2:$J$306, 7, FALSE)</f>
        <v>341</v>
      </c>
      <c r="I233" t="e">
        <v>#N/A</v>
      </c>
      <c r="J233" s="11" t="s">
        <v>820</v>
      </c>
    </row>
    <row r="234" spans="1:10" ht="45" x14ac:dyDescent="0.45">
      <c r="A234" s="2" t="s">
        <v>475</v>
      </c>
      <c r="B234" s="8" t="s">
        <v>571</v>
      </c>
      <c r="C234">
        <v>50.9116</v>
      </c>
      <c r="D234">
        <v>8.0027000000000008</v>
      </c>
      <c r="E234" t="s">
        <v>412</v>
      </c>
      <c r="F234" t="s">
        <v>446</v>
      </c>
      <c r="G234" t="s">
        <v>446</v>
      </c>
      <c r="H234" s="6">
        <f>VLOOKUP(A234, '[1]Marini+iDigBio'!$D$2:$J$306, 7, FALSE)</f>
        <v>340.66666666666669</v>
      </c>
      <c r="I234" t="e">
        <v>#N/A</v>
      </c>
      <c r="J234" s="11" t="s">
        <v>910</v>
      </c>
    </row>
    <row r="235" spans="1:10" ht="15.75" x14ac:dyDescent="0.45">
      <c r="A235" s="2" t="s">
        <v>476</v>
      </c>
      <c r="B235" s="8" t="s">
        <v>572</v>
      </c>
      <c r="C235">
        <v>49.899799999999999</v>
      </c>
      <c r="D235">
        <v>-97.137500000000003</v>
      </c>
      <c r="E235" t="s">
        <v>420</v>
      </c>
      <c r="F235" t="s">
        <v>447</v>
      </c>
      <c r="G235" t="s">
        <v>447</v>
      </c>
      <c r="H235" s="6">
        <f>VLOOKUP(A235, '[1]Marini+iDigBio'!$D$2:$J$306, 7, FALSE)</f>
        <v>340</v>
      </c>
      <c r="I235" t="e">
        <v>#N/A</v>
      </c>
      <c r="J235" s="11" t="s">
        <v>821</v>
      </c>
    </row>
    <row r="236" spans="1:10" ht="30" x14ac:dyDescent="0.45">
      <c r="A236" s="2" t="s">
        <v>477</v>
      </c>
      <c r="B236" s="8" t="s">
        <v>573</v>
      </c>
      <c r="C236">
        <v>41.902799999999999</v>
      </c>
      <c r="D236">
        <v>12.4964</v>
      </c>
      <c r="E236" t="s">
        <v>432</v>
      </c>
      <c r="F236" t="s">
        <v>446</v>
      </c>
      <c r="G236" t="s">
        <v>446</v>
      </c>
      <c r="H236" s="6">
        <f>VLOOKUP(A236, '[1]Marini+iDigBio'!$D$2:$J$306, 7, FALSE)</f>
        <v>340</v>
      </c>
      <c r="I236" t="e">
        <v>#N/A</v>
      </c>
      <c r="J236" s="11" t="s">
        <v>911</v>
      </c>
    </row>
    <row r="237" spans="1:10" ht="15.75" x14ac:dyDescent="0.45">
      <c r="A237" s="2" t="s">
        <v>478</v>
      </c>
      <c r="B237" s="8" t="s">
        <v>574</v>
      </c>
      <c r="C237">
        <v>36.343000000000004</v>
      </c>
      <c r="D237">
        <v>-88.865700000000004</v>
      </c>
      <c r="E237" t="s">
        <v>411</v>
      </c>
      <c r="F237" t="s">
        <v>447</v>
      </c>
      <c r="G237" t="s">
        <v>447</v>
      </c>
      <c r="H237" s="6">
        <f>VLOOKUP(A237, '[1]Marini+iDigBio'!$D$2:$J$306, 7, FALSE)</f>
        <v>340</v>
      </c>
      <c r="I237" t="e">
        <v>#N/A</v>
      </c>
      <c r="J237" s="11" t="s">
        <v>822</v>
      </c>
    </row>
    <row r="238" spans="1:10" ht="15.75" x14ac:dyDescent="0.45">
      <c r="A238" s="2" t="s">
        <v>479</v>
      </c>
      <c r="B238" s="8" t="s">
        <v>575</v>
      </c>
      <c r="C238">
        <v>23.113600000000002</v>
      </c>
      <c r="D238">
        <v>-82.366600000000005</v>
      </c>
      <c r="E238" t="s">
        <v>444</v>
      </c>
      <c r="F238" t="s">
        <v>447</v>
      </c>
      <c r="G238" t="s">
        <v>447</v>
      </c>
      <c r="H238" s="6">
        <f>VLOOKUP(A238, '[1]Marini+iDigBio'!$D$2:$J$306, 7, FALSE)</f>
        <v>337</v>
      </c>
      <c r="I238" t="e">
        <v>#N/A</v>
      </c>
      <c r="J238" s="12"/>
    </row>
    <row r="239" spans="1:10" ht="30" x14ac:dyDescent="0.45">
      <c r="A239" s="2" t="s">
        <v>480</v>
      </c>
      <c r="B239" s="8" t="s">
        <v>576</v>
      </c>
      <c r="C239">
        <v>51.540599999999998</v>
      </c>
      <c r="D239">
        <v>9.9342000000000006</v>
      </c>
      <c r="E239" t="s">
        <v>412</v>
      </c>
      <c r="F239" t="s">
        <v>446</v>
      </c>
      <c r="G239" t="s">
        <v>446</v>
      </c>
      <c r="H239" s="6">
        <f>VLOOKUP(A239, '[1]Marini+iDigBio'!$D$2:$J$306, 7, FALSE)</f>
        <v>333.33333333333331</v>
      </c>
      <c r="I239" t="e">
        <v>#N/A</v>
      </c>
      <c r="J239" s="11" t="s">
        <v>912</v>
      </c>
    </row>
    <row r="240" spans="1:10" ht="75" x14ac:dyDescent="0.45">
      <c r="A240" s="2" t="s">
        <v>481</v>
      </c>
      <c r="B240" s="8" t="s">
        <v>577</v>
      </c>
      <c r="C240">
        <v>53.2012</v>
      </c>
      <c r="D240">
        <v>5.7999000000000001</v>
      </c>
      <c r="E240" t="s">
        <v>413</v>
      </c>
      <c r="F240" t="s">
        <v>446</v>
      </c>
      <c r="G240" t="s">
        <v>446</v>
      </c>
      <c r="H240" s="6">
        <f>VLOOKUP(A240, '[1]Marini+iDigBio'!$D$2:$J$306, 7, FALSE)</f>
        <v>333.33333333333331</v>
      </c>
      <c r="I240" t="e">
        <v>#N/A</v>
      </c>
      <c r="J240" s="11" t="s">
        <v>913</v>
      </c>
    </row>
    <row r="241" spans="1:10" ht="30" x14ac:dyDescent="0.45">
      <c r="A241" s="2" t="s">
        <v>482</v>
      </c>
      <c r="B241" s="8" t="s">
        <v>578</v>
      </c>
      <c r="C241">
        <v>-1.4554</v>
      </c>
      <c r="D241">
        <v>-48.488999999999997</v>
      </c>
      <c r="E241" t="s">
        <v>433</v>
      </c>
      <c r="F241" t="s">
        <v>451</v>
      </c>
      <c r="G241" t="s">
        <v>451</v>
      </c>
      <c r="H241" s="6">
        <f>VLOOKUP(A241, '[1]Marini+iDigBio'!$D$2:$J$306, 7, FALSE)</f>
        <v>330</v>
      </c>
      <c r="I241" t="e">
        <v>#N/A</v>
      </c>
      <c r="J241" s="11" t="s">
        <v>914</v>
      </c>
    </row>
    <row r="242" spans="1:10" ht="45" x14ac:dyDescent="0.45">
      <c r="A242" s="2" t="s">
        <v>483</v>
      </c>
      <c r="B242" s="8" t="s">
        <v>579</v>
      </c>
      <c r="C242">
        <v>39.507300000000001</v>
      </c>
      <c r="D242">
        <v>-84.731499999999997</v>
      </c>
      <c r="E242" t="s">
        <v>411</v>
      </c>
      <c r="F242" t="s">
        <v>447</v>
      </c>
      <c r="G242" t="s">
        <v>447</v>
      </c>
      <c r="H242" s="6">
        <f>VLOOKUP(A242, '[1]Marini+iDigBio'!$D$2:$J$306, 7, FALSE)</f>
        <v>316</v>
      </c>
      <c r="I242" t="e">
        <v>#N/A</v>
      </c>
      <c r="J242" s="11" t="s">
        <v>915</v>
      </c>
    </row>
    <row r="243" spans="1:10" ht="15.75" x14ac:dyDescent="0.45">
      <c r="A243" s="2" t="s">
        <v>158</v>
      </c>
      <c r="B243" s="8" t="s">
        <v>580</v>
      </c>
      <c r="C243">
        <v>49.351399999999998</v>
      </c>
      <c r="D243">
        <v>8.2149999999999999</v>
      </c>
      <c r="E243" t="s">
        <v>412</v>
      </c>
      <c r="F243" t="s">
        <v>446</v>
      </c>
      <c r="G243" t="s">
        <v>446</v>
      </c>
      <c r="H243" s="6">
        <f>VLOOKUP(A243, '[1]Marini+iDigBio'!$D$2:$J$306, 7, FALSE)</f>
        <v>1000</v>
      </c>
      <c r="I243">
        <v>0</v>
      </c>
      <c r="J243" s="11" t="s">
        <v>890</v>
      </c>
    </row>
    <row r="244" spans="1:10" ht="30" x14ac:dyDescent="0.45">
      <c r="A244" s="2" t="s">
        <v>484</v>
      </c>
      <c r="B244" s="8" t="s">
        <v>581</v>
      </c>
      <c r="C244">
        <v>49.611699999999999</v>
      </c>
      <c r="D244">
        <v>6.13</v>
      </c>
      <c r="E244" t="s">
        <v>582</v>
      </c>
      <c r="F244" t="s">
        <v>446</v>
      </c>
      <c r="G244" t="s">
        <v>446</v>
      </c>
      <c r="H244" s="6">
        <f>VLOOKUP(A244, '[1]Marini+iDigBio'!$D$2:$J$306, 7, FALSE)</f>
        <v>300</v>
      </c>
      <c r="I244" t="e">
        <v>#N/A</v>
      </c>
      <c r="J244" s="11" t="s">
        <v>823</v>
      </c>
    </row>
    <row r="245" spans="1:10" ht="30" x14ac:dyDescent="0.45">
      <c r="A245" s="2" t="s">
        <v>485</v>
      </c>
      <c r="B245" s="8" t="s">
        <v>583</v>
      </c>
      <c r="C245">
        <v>51.537799999999997</v>
      </c>
      <c r="D245">
        <v>0.71479999999999999</v>
      </c>
      <c r="E245" t="s">
        <v>410</v>
      </c>
      <c r="F245" t="s">
        <v>446</v>
      </c>
      <c r="G245" t="s">
        <v>446</v>
      </c>
      <c r="H245" s="6">
        <f>VLOOKUP(A245, '[1]Marini+iDigBio'!$D$2:$J$306, 7, FALSE)</f>
        <v>300</v>
      </c>
      <c r="I245" t="e">
        <v>#N/A</v>
      </c>
      <c r="J245" s="11" t="s">
        <v>824</v>
      </c>
    </row>
    <row r="246" spans="1:10" ht="15.75" x14ac:dyDescent="0.45">
      <c r="A246" s="2" t="s">
        <v>486</v>
      </c>
      <c r="B246" s="8" t="s">
        <v>584</v>
      </c>
      <c r="C246">
        <v>42.731900000000003</v>
      </c>
      <c r="D246">
        <v>-84.483900000000006</v>
      </c>
      <c r="E246" t="s">
        <v>411</v>
      </c>
      <c r="F246" t="s">
        <v>447</v>
      </c>
      <c r="G246" t="s">
        <v>447</v>
      </c>
      <c r="H246" s="6">
        <f>VLOOKUP(A246, '[1]Marini+iDigBio'!$D$2:$J$306, 7, FALSE)</f>
        <v>300</v>
      </c>
      <c r="I246" t="e">
        <v>#N/A</v>
      </c>
      <c r="J246" s="11" t="s">
        <v>825</v>
      </c>
    </row>
    <row r="247" spans="1:10" ht="15.75" x14ac:dyDescent="0.45">
      <c r="A247" s="2" t="s">
        <v>487</v>
      </c>
      <c r="B247" s="8" t="s">
        <v>585</v>
      </c>
      <c r="C247">
        <v>33.456499999999998</v>
      </c>
      <c r="D247">
        <v>-88.793999999999997</v>
      </c>
      <c r="E247" t="s">
        <v>411</v>
      </c>
      <c r="F247" t="s">
        <v>447</v>
      </c>
      <c r="G247" t="s">
        <v>447</v>
      </c>
      <c r="H247" s="6">
        <f>VLOOKUP(A247, '[1]Marini+iDigBio'!$D$2:$J$306, 7, FALSE)</f>
        <v>300</v>
      </c>
      <c r="I247" t="e">
        <v>#N/A</v>
      </c>
      <c r="J247" s="11" t="s">
        <v>826</v>
      </c>
    </row>
    <row r="248" spans="1:10" ht="15.75" x14ac:dyDescent="0.45">
      <c r="A248" s="2" t="s">
        <v>488</v>
      </c>
      <c r="B248" s="8" t="s">
        <v>586</v>
      </c>
      <c r="C248">
        <v>42.262599999999999</v>
      </c>
      <c r="D248">
        <v>-71.802300000000002</v>
      </c>
      <c r="E248" t="s">
        <v>411</v>
      </c>
      <c r="F248" t="s">
        <v>447</v>
      </c>
      <c r="G248" t="s">
        <v>447</v>
      </c>
      <c r="H248" s="6">
        <f>VLOOKUP(A248, '[1]Marini+iDigBio'!$D$2:$J$306, 7, FALSE)</f>
        <v>300</v>
      </c>
      <c r="I248" t="e">
        <v>#N/A</v>
      </c>
      <c r="J248" s="11" t="s">
        <v>827</v>
      </c>
    </row>
    <row r="249" spans="1:10" ht="15.75" x14ac:dyDescent="0.45">
      <c r="A249" s="2" t="s">
        <v>489</v>
      </c>
      <c r="B249" s="8" t="s">
        <v>587</v>
      </c>
      <c r="C249">
        <v>32.744</v>
      </c>
      <c r="D249">
        <v>-97.368499999999997</v>
      </c>
      <c r="E249" t="s">
        <v>411</v>
      </c>
      <c r="F249" t="s">
        <v>447</v>
      </c>
      <c r="G249" t="s">
        <v>447</v>
      </c>
      <c r="H249" s="6">
        <f>VLOOKUP(A249, '[1]Marini+iDigBio'!$D$2:$J$306, 7, FALSE)</f>
        <v>295</v>
      </c>
      <c r="I249" t="e">
        <v>#N/A</v>
      </c>
      <c r="J249" s="11" t="s">
        <v>828</v>
      </c>
    </row>
    <row r="250" spans="1:10" ht="30" x14ac:dyDescent="0.45">
      <c r="A250" s="2" t="s">
        <v>490</v>
      </c>
      <c r="B250" s="8" t="s">
        <v>588</v>
      </c>
      <c r="C250">
        <v>44.8521</v>
      </c>
      <c r="D250">
        <v>7.7175000000000002</v>
      </c>
      <c r="E250" t="s">
        <v>432</v>
      </c>
      <c r="F250" t="s">
        <v>446</v>
      </c>
      <c r="G250" t="s">
        <v>446</v>
      </c>
      <c r="H250" s="6">
        <f>VLOOKUP(A250, '[1]Marini+iDigBio'!$D$2:$J$306, 7, FALSE)</f>
        <v>292</v>
      </c>
      <c r="I250" t="e">
        <v>#N/A</v>
      </c>
      <c r="J250" s="11" t="s">
        <v>916</v>
      </c>
    </row>
    <row r="251" spans="1:10" ht="31.5" x14ac:dyDescent="0.45">
      <c r="A251" s="2" t="s">
        <v>491</v>
      </c>
      <c r="B251" s="8" t="s">
        <v>589</v>
      </c>
      <c r="C251">
        <v>-31.633299999999998</v>
      </c>
      <c r="D251">
        <v>-60.7</v>
      </c>
      <c r="E251" t="s">
        <v>442</v>
      </c>
      <c r="F251" t="s">
        <v>451</v>
      </c>
      <c r="G251" t="s">
        <v>451</v>
      </c>
      <c r="H251" s="6">
        <f>VLOOKUP(A251, '[1]Marini+iDigBio'!$D$2:$J$306, 7, FALSE)</f>
        <v>291</v>
      </c>
      <c r="I251" t="e">
        <v>#N/A</v>
      </c>
      <c r="J251" s="11" t="s">
        <v>917</v>
      </c>
    </row>
    <row r="252" spans="1:10" ht="15.75" x14ac:dyDescent="0.45">
      <c r="A252" s="2" t="s">
        <v>492</v>
      </c>
      <c r="B252" s="8" t="s">
        <v>590</v>
      </c>
      <c r="C252">
        <v>34.068899999999999</v>
      </c>
      <c r="D252">
        <v>-118.4452</v>
      </c>
      <c r="E252" t="s">
        <v>411</v>
      </c>
      <c r="F252" t="s">
        <v>447</v>
      </c>
      <c r="G252" t="s">
        <v>447</v>
      </c>
      <c r="H252" s="6">
        <f>VLOOKUP(A252, '[1]Marini+iDigBio'!$D$2:$J$306, 7, FALSE)</f>
        <v>290</v>
      </c>
      <c r="I252" t="e">
        <v>#N/A</v>
      </c>
      <c r="J252" s="11" t="s">
        <v>829</v>
      </c>
    </row>
    <row r="253" spans="1:10" ht="15.75" x14ac:dyDescent="0.45">
      <c r="A253" s="2" t="s">
        <v>493</v>
      </c>
      <c r="B253" s="8" t="s">
        <v>591</v>
      </c>
      <c r="C253">
        <v>31.621700000000001</v>
      </c>
      <c r="D253">
        <v>-94.655500000000004</v>
      </c>
      <c r="E253" t="s">
        <v>411</v>
      </c>
      <c r="F253" t="s">
        <v>447</v>
      </c>
      <c r="G253" t="s">
        <v>447</v>
      </c>
      <c r="H253" s="6">
        <f>VLOOKUP(A253, '[1]Marini+iDigBio'!$D$2:$J$306, 7, FALSE)</f>
        <v>280</v>
      </c>
      <c r="I253" t="e">
        <v>#N/A</v>
      </c>
      <c r="J253" s="11" t="s">
        <v>830</v>
      </c>
    </row>
    <row r="254" spans="1:10" ht="15.75" x14ac:dyDescent="0.45">
      <c r="A254" s="2" t="s">
        <v>494</v>
      </c>
      <c r="B254" s="8" t="s">
        <v>592</v>
      </c>
      <c r="C254">
        <v>46.048099999999998</v>
      </c>
      <c r="D254">
        <v>-118.3897</v>
      </c>
      <c r="E254" t="s">
        <v>411</v>
      </c>
      <c r="F254" t="s">
        <v>447</v>
      </c>
      <c r="G254" t="s">
        <v>447</v>
      </c>
      <c r="H254" s="6">
        <f>VLOOKUP(A254, '[1]Marini+iDigBio'!$D$2:$J$306, 7, FALSE)</f>
        <v>277</v>
      </c>
      <c r="I254" t="e">
        <v>#N/A</v>
      </c>
      <c r="J254" s="11" t="s">
        <v>831</v>
      </c>
    </row>
    <row r="255" spans="1:10" ht="15.75" x14ac:dyDescent="0.45">
      <c r="A255" s="2" t="s">
        <v>495</v>
      </c>
      <c r="B255" s="8" t="s">
        <v>593</v>
      </c>
      <c r="C255">
        <v>45.192399999999999</v>
      </c>
      <c r="D255">
        <v>5.7244999999999999</v>
      </c>
      <c r="E255" t="s">
        <v>425</v>
      </c>
      <c r="F255" t="s">
        <v>446</v>
      </c>
      <c r="G255" t="s">
        <v>446</v>
      </c>
      <c r="H255" s="6">
        <f>VLOOKUP(A255, '[1]Marini+iDigBio'!$D$2:$J$306, 7, FALSE)</f>
        <v>276.66666666666669</v>
      </c>
      <c r="I255" t="e">
        <v>#N/A</v>
      </c>
      <c r="J255" s="11" t="s">
        <v>832</v>
      </c>
    </row>
    <row r="256" spans="1:10" ht="15.75" x14ac:dyDescent="0.45">
      <c r="A256" s="2" t="s">
        <v>496</v>
      </c>
      <c r="B256" s="8" t="s">
        <v>594</v>
      </c>
      <c r="C256">
        <v>49.5946</v>
      </c>
      <c r="D256">
        <v>17.250900000000001</v>
      </c>
      <c r="E256" t="s">
        <v>427</v>
      </c>
      <c r="F256" t="s">
        <v>446</v>
      </c>
      <c r="G256" t="s">
        <v>446</v>
      </c>
      <c r="H256" s="6">
        <f>VLOOKUP(A256, '[1]Marini+iDigBio'!$D$2:$J$306, 7, FALSE)</f>
        <v>273</v>
      </c>
      <c r="I256" t="e">
        <v>#N/A</v>
      </c>
      <c r="J256" s="11" t="s">
        <v>833</v>
      </c>
    </row>
    <row r="257" spans="1:10" ht="30" x14ac:dyDescent="0.45">
      <c r="A257" s="2" t="s">
        <v>497</v>
      </c>
      <c r="B257" s="8" t="s">
        <v>595</v>
      </c>
      <c r="C257">
        <v>-43.531100000000002</v>
      </c>
      <c r="D257">
        <v>172.637</v>
      </c>
      <c r="E257" t="s">
        <v>438</v>
      </c>
      <c r="F257" t="s">
        <v>417</v>
      </c>
      <c r="G257" t="s">
        <v>417</v>
      </c>
      <c r="H257" s="6">
        <f>VLOOKUP(A257, '[1]Marini+iDigBio'!$D$2:$J$306, 7, FALSE)</f>
        <v>266.66666666666669</v>
      </c>
      <c r="I257" t="e">
        <v>#N/A</v>
      </c>
      <c r="J257" s="11" t="s">
        <v>834</v>
      </c>
    </row>
    <row r="258" spans="1:10" ht="15.75" x14ac:dyDescent="0.45">
      <c r="A258" s="2" t="s">
        <v>13</v>
      </c>
      <c r="B258" s="8" t="s">
        <v>596</v>
      </c>
      <c r="C258">
        <v>38.891300000000001</v>
      </c>
      <c r="D258">
        <v>-77.0261</v>
      </c>
      <c r="E258" t="s">
        <v>411</v>
      </c>
      <c r="F258" t="s">
        <v>447</v>
      </c>
      <c r="G258" t="s">
        <v>447</v>
      </c>
      <c r="H258" s="6">
        <f>VLOOKUP(A258, '[1]Marini+iDigBio'!$D$2:$J$306, 7, FALSE)</f>
        <v>31329</v>
      </c>
      <c r="I258">
        <v>1</v>
      </c>
      <c r="J258" s="11" t="s">
        <v>667</v>
      </c>
    </row>
    <row r="259" spans="1:10" ht="15.75" x14ac:dyDescent="0.45">
      <c r="A259" s="2" t="s">
        <v>498</v>
      </c>
      <c r="B259" s="8" t="s">
        <v>597</v>
      </c>
      <c r="C259">
        <v>39.110799999999998</v>
      </c>
      <c r="D259">
        <v>-84.517300000000006</v>
      </c>
      <c r="E259" t="s">
        <v>411</v>
      </c>
      <c r="F259" t="s">
        <v>447</v>
      </c>
      <c r="G259" t="s">
        <v>447</v>
      </c>
      <c r="H259" s="6">
        <f>VLOOKUP(A259, '[1]Marini+iDigBio'!$D$2:$J$306, 7, FALSE)</f>
        <v>250</v>
      </c>
      <c r="I259" t="e">
        <v>#N/A</v>
      </c>
      <c r="J259" s="11" t="s">
        <v>835</v>
      </c>
    </row>
    <row r="260" spans="1:10" ht="15.75" x14ac:dyDescent="0.45">
      <c r="A260" s="2" t="s">
        <v>499</v>
      </c>
      <c r="B260" s="8" t="s">
        <v>598</v>
      </c>
      <c r="C260">
        <v>40.573399999999999</v>
      </c>
      <c r="D260">
        <v>-105.0865</v>
      </c>
      <c r="E260" t="s">
        <v>411</v>
      </c>
      <c r="F260" t="s">
        <v>447</v>
      </c>
      <c r="G260" t="s">
        <v>447</v>
      </c>
      <c r="H260" s="6">
        <f>VLOOKUP(A260, '[1]Marini+iDigBio'!$D$2:$J$306, 7, FALSE)</f>
        <v>230</v>
      </c>
      <c r="I260" t="e">
        <v>#N/A</v>
      </c>
      <c r="J260" s="11" t="s">
        <v>836</v>
      </c>
    </row>
    <row r="261" spans="1:10" ht="30" x14ac:dyDescent="0.45">
      <c r="A261" s="2" t="s">
        <v>500</v>
      </c>
      <c r="B261" s="8" t="s">
        <v>599</v>
      </c>
      <c r="C261">
        <v>38.1494</v>
      </c>
      <c r="D261">
        <v>13.081300000000001</v>
      </c>
      <c r="E261" t="s">
        <v>432</v>
      </c>
      <c r="F261" t="s">
        <v>446</v>
      </c>
      <c r="G261" t="s">
        <v>446</v>
      </c>
      <c r="H261" s="6">
        <f>VLOOKUP(A261, '[1]Marini+iDigBio'!$D$2:$J$306, 7, FALSE)</f>
        <v>222</v>
      </c>
      <c r="I261" t="e">
        <v>#N/A</v>
      </c>
      <c r="J261" s="11" t="s">
        <v>918</v>
      </c>
    </row>
    <row r="262" spans="1:10" ht="45" x14ac:dyDescent="0.45">
      <c r="A262" s="2" t="s">
        <v>501</v>
      </c>
      <c r="B262" s="8" t="s">
        <v>600</v>
      </c>
      <c r="C262">
        <v>9.9352</v>
      </c>
      <c r="D262">
        <v>-84.051400000000001</v>
      </c>
      <c r="E262" t="s">
        <v>546</v>
      </c>
      <c r="F262" t="s">
        <v>447</v>
      </c>
      <c r="G262" t="s">
        <v>447</v>
      </c>
      <c r="H262" s="6">
        <f>VLOOKUP(A262, '[1]Marini+iDigBio'!$D$2:$J$306, 7, FALSE)</f>
        <v>205</v>
      </c>
      <c r="I262" t="e">
        <v>#N/A</v>
      </c>
      <c r="J262" s="11" t="s">
        <v>919</v>
      </c>
    </row>
    <row r="263" spans="1:10" ht="15.75" x14ac:dyDescent="0.45">
      <c r="A263" s="2" t="s">
        <v>502</v>
      </c>
      <c r="B263" s="8" t="s">
        <v>601</v>
      </c>
      <c r="C263">
        <v>51.2333</v>
      </c>
      <c r="D263">
        <v>12.716699999999999</v>
      </c>
      <c r="E263" t="s">
        <v>412</v>
      </c>
      <c r="F263" t="s">
        <v>446</v>
      </c>
      <c r="G263" t="s">
        <v>446</v>
      </c>
      <c r="H263" s="6">
        <f>VLOOKUP(A263, '[1]Marini+iDigBio'!$D$2:$J$306, 7, FALSE)</f>
        <v>200</v>
      </c>
      <c r="I263" t="e">
        <v>#N/A</v>
      </c>
      <c r="J263" s="11" t="s">
        <v>837</v>
      </c>
    </row>
    <row r="264" spans="1:10" ht="15.75" x14ac:dyDescent="0.45">
      <c r="A264" s="2" t="s">
        <v>503</v>
      </c>
      <c r="B264" s="8" t="s">
        <v>602</v>
      </c>
      <c r="C264">
        <v>51.620600000000003</v>
      </c>
      <c r="D264">
        <v>-3.9394</v>
      </c>
      <c r="E264" t="s">
        <v>410</v>
      </c>
      <c r="F264" t="s">
        <v>446</v>
      </c>
      <c r="G264" t="s">
        <v>446</v>
      </c>
      <c r="H264" s="6">
        <f>VLOOKUP(A264, '[1]Marini+iDigBio'!$D$2:$J$306, 7, FALSE)</f>
        <v>200</v>
      </c>
      <c r="I264" t="e">
        <v>#N/A</v>
      </c>
      <c r="J264" s="11" t="s">
        <v>838</v>
      </c>
    </row>
    <row r="265" spans="1:10" ht="15.75" x14ac:dyDescent="0.45">
      <c r="A265" s="2" t="s">
        <v>504</v>
      </c>
      <c r="B265" s="8" t="s">
        <v>603</v>
      </c>
      <c r="C265">
        <v>33.211199999999998</v>
      </c>
      <c r="D265">
        <v>-87.539699999999996</v>
      </c>
      <c r="E265" t="s">
        <v>411</v>
      </c>
      <c r="F265" t="s">
        <v>447</v>
      </c>
      <c r="G265" t="s">
        <v>447</v>
      </c>
      <c r="H265" s="6">
        <f>VLOOKUP(A265, '[1]Marini+iDigBio'!$D$2:$J$306, 7, FALSE)</f>
        <v>200</v>
      </c>
      <c r="I265" t="e">
        <v>#N/A</v>
      </c>
      <c r="J265" s="11" t="s">
        <v>839</v>
      </c>
    </row>
    <row r="266" spans="1:10" ht="15.75" x14ac:dyDescent="0.45">
      <c r="A266" s="2" t="s">
        <v>505</v>
      </c>
      <c r="B266" s="8" t="s">
        <v>604</v>
      </c>
      <c r="C266">
        <v>39.981999999999999</v>
      </c>
      <c r="D266">
        <v>-75.160799999999995</v>
      </c>
      <c r="E266" t="s">
        <v>411</v>
      </c>
      <c r="F266" t="s">
        <v>447</v>
      </c>
      <c r="G266" t="s">
        <v>447</v>
      </c>
      <c r="H266" s="6">
        <f>VLOOKUP(A266, '[1]Marini+iDigBio'!$D$2:$J$306, 7, FALSE)</f>
        <v>200</v>
      </c>
      <c r="I266" t="e">
        <v>#N/A</v>
      </c>
      <c r="J266" s="11" t="s">
        <v>840</v>
      </c>
    </row>
    <row r="267" spans="1:10" ht="15.75" x14ac:dyDescent="0.45">
      <c r="A267" s="2" t="s">
        <v>506</v>
      </c>
      <c r="B267" s="8" t="s">
        <v>605</v>
      </c>
      <c r="C267">
        <v>48.238100000000003</v>
      </c>
      <c r="D267">
        <v>-101.2914</v>
      </c>
      <c r="E267" t="s">
        <v>411</v>
      </c>
      <c r="F267" t="s">
        <v>447</v>
      </c>
      <c r="G267" t="s">
        <v>447</v>
      </c>
      <c r="H267" s="6">
        <f>VLOOKUP(A267, '[1]Marini+iDigBio'!$D$2:$J$306, 7, FALSE)</f>
        <v>196</v>
      </c>
      <c r="I267" t="e">
        <v>#N/A</v>
      </c>
      <c r="J267" s="11" t="s">
        <v>841</v>
      </c>
    </row>
    <row r="268" spans="1:10" ht="15.75" x14ac:dyDescent="0.45">
      <c r="A268" s="2" t="s">
        <v>507</v>
      </c>
      <c r="B268" s="8" t="s">
        <v>606</v>
      </c>
      <c r="C268">
        <v>44.318399999999997</v>
      </c>
      <c r="D268">
        <v>-96.783199999999994</v>
      </c>
      <c r="E268" t="s">
        <v>411</v>
      </c>
      <c r="F268" t="s">
        <v>447</v>
      </c>
      <c r="G268" t="s">
        <v>447</v>
      </c>
      <c r="H268" s="6">
        <f>VLOOKUP(A268, '[1]Marini+iDigBio'!$D$2:$J$306, 7, FALSE)</f>
        <v>189</v>
      </c>
      <c r="I268" t="e">
        <v>#N/A</v>
      </c>
      <c r="J268" s="11" t="s">
        <v>842</v>
      </c>
    </row>
    <row r="269" spans="1:10" ht="30" x14ac:dyDescent="0.45">
      <c r="A269" s="2" t="s">
        <v>508</v>
      </c>
      <c r="B269" s="8" t="s">
        <v>607</v>
      </c>
      <c r="C269">
        <v>49.892000000000003</v>
      </c>
      <c r="D269">
        <v>10.8919</v>
      </c>
      <c r="E269" t="s">
        <v>412</v>
      </c>
      <c r="F269" t="s">
        <v>446</v>
      </c>
      <c r="G269" t="s">
        <v>446</v>
      </c>
      <c r="H269" s="6">
        <f>VLOOKUP(A269, '[1]Marini+iDigBio'!$D$2:$J$306, 7, FALSE)</f>
        <v>184</v>
      </c>
      <c r="I269" t="e">
        <v>#N/A</v>
      </c>
      <c r="J269" s="11" t="s">
        <v>920</v>
      </c>
    </row>
    <row r="270" spans="1:10" ht="15.75" x14ac:dyDescent="0.45">
      <c r="A270" s="2" t="s">
        <v>509</v>
      </c>
      <c r="B270" s="8" t="s">
        <v>608</v>
      </c>
      <c r="C270">
        <v>50.899099999999997</v>
      </c>
      <c r="D270">
        <v>15.728</v>
      </c>
      <c r="E270" t="s">
        <v>430</v>
      </c>
      <c r="F270" t="s">
        <v>446</v>
      </c>
      <c r="G270" t="s">
        <v>446</v>
      </c>
      <c r="H270" s="6">
        <f>VLOOKUP(A270, '[1]Marini+iDigBio'!$D$2:$J$306, 7, FALSE)</f>
        <v>180.33333333333334</v>
      </c>
      <c r="I270" t="e">
        <v>#N/A</v>
      </c>
      <c r="J270" s="11" t="s">
        <v>843</v>
      </c>
    </row>
    <row r="271" spans="1:10" ht="15.75" x14ac:dyDescent="0.45">
      <c r="A271" s="2" t="s">
        <v>510</v>
      </c>
      <c r="B271" s="8" t="s">
        <v>609</v>
      </c>
      <c r="C271">
        <v>35.672800000000002</v>
      </c>
      <c r="D271">
        <v>139.7544</v>
      </c>
      <c r="E271" t="s">
        <v>610</v>
      </c>
      <c r="F271" t="s">
        <v>611</v>
      </c>
      <c r="G271" t="s">
        <v>611</v>
      </c>
      <c r="H271" s="6">
        <f>VLOOKUP(A271, '[1]Marini+iDigBio'!$D$2:$J$306, 7, FALSE)</f>
        <v>175</v>
      </c>
      <c r="I271" t="e">
        <v>#N/A</v>
      </c>
      <c r="J271" s="11" t="s">
        <v>844</v>
      </c>
    </row>
    <row r="272" spans="1:10" ht="15.75" x14ac:dyDescent="0.45">
      <c r="A272" s="2" t="s">
        <v>41</v>
      </c>
      <c r="B272" s="8" t="s">
        <v>612</v>
      </c>
      <c r="C272">
        <v>59.939799999999998</v>
      </c>
      <c r="D272">
        <v>30.3157</v>
      </c>
      <c r="E272" t="s">
        <v>422</v>
      </c>
      <c r="F272" t="s">
        <v>446</v>
      </c>
      <c r="G272" t="s">
        <v>653</v>
      </c>
      <c r="H272" s="6">
        <f>VLOOKUP(A272, '[1]Marini+iDigBio'!$D$2:$J$306, 7, FALSE)</f>
        <v>10000</v>
      </c>
      <c r="I272">
        <v>0</v>
      </c>
      <c r="J272" s="11" t="s">
        <v>674</v>
      </c>
    </row>
    <row r="273" spans="1:10" ht="15.75" x14ac:dyDescent="0.45">
      <c r="A273" s="2" t="s">
        <v>511</v>
      </c>
      <c r="B273" s="8" t="s">
        <v>613</v>
      </c>
      <c r="C273">
        <v>40.441699999999997</v>
      </c>
      <c r="D273">
        <v>-3.6919</v>
      </c>
      <c r="E273" t="s">
        <v>437</v>
      </c>
      <c r="F273" t="s">
        <v>446</v>
      </c>
      <c r="G273" t="s">
        <v>446</v>
      </c>
      <c r="H273" s="6">
        <f>VLOOKUP(A273, '[1]Marini+iDigBio'!$D$2:$J$306, 7, FALSE)</f>
        <v>161</v>
      </c>
      <c r="I273" t="e">
        <v>#N/A</v>
      </c>
      <c r="J273" s="11" t="s">
        <v>845</v>
      </c>
    </row>
    <row r="274" spans="1:10" ht="30" x14ac:dyDescent="0.45">
      <c r="A274" s="2" t="s">
        <v>512</v>
      </c>
      <c r="B274" s="8" t="s">
        <v>614</v>
      </c>
      <c r="C274">
        <v>44.485799999999998</v>
      </c>
      <c r="D274">
        <v>11.342599999999999</v>
      </c>
      <c r="E274" t="s">
        <v>432</v>
      </c>
      <c r="F274" t="s">
        <v>446</v>
      </c>
      <c r="G274" t="s">
        <v>446</v>
      </c>
      <c r="H274" s="6">
        <f>VLOOKUP(A274, '[1]Marini+iDigBio'!$D$2:$J$306, 7, FALSE)</f>
        <v>150</v>
      </c>
      <c r="I274" t="e">
        <v>#N/A</v>
      </c>
      <c r="J274" s="11" t="s">
        <v>921</v>
      </c>
    </row>
    <row r="275" spans="1:10" ht="30" x14ac:dyDescent="0.45">
      <c r="A275" s="2" t="s">
        <v>513</v>
      </c>
      <c r="B275" s="8" t="s">
        <v>615</v>
      </c>
      <c r="C275">
        <v>19.325299999999999</v>
      </c>
      <c r="D275">
        <v>-99.176100000000005</v>
      </c>
      <c r="E275" t="s">
        <v>616</v>
      </c>
      <c r="F275" t="s">
        <v>447</v>
      </c>
      <c r="G275" t="s">
        <v>447</v>
      </c>
      <c r="H275" s="6">
        <f>VLOOKUP(A275, '[1]Marini+iDigBio'!$D$2:$J$306, 7, FALSE)</f>
        <v>150</v>
      </c>
      <c r="I275" t="e">
        <v>#N/A</v>
      </c>
      <c r="J275" s="11" t="s">
        <v>922</v>
      </c>
    </row>
    <row r="276" spans="1:10" ht="15.75" x14ac:dyDescent="0.45">
      <c r="A276" s="2" t="s">
        <v>514</v>
      </c>
      <c r="B276" s="8" t="s">
        <v>617</v>
      </c>
      <c r="C276">
        <v>55.788699999999999</v>
      </c>
      <c r="D276">
        <v>49.122100000000003</v>
      </c>
      <c r="E276" t="s">
        <v>422</v>
      </c>
      <c r="F276" t="s">
        <v>446</v>
      </c>
      <c r="G276" t="s">
        <v>653</v>
      </c>
      <c r="H276" s="6">
        <f>VLOOKUP(A276, '[1]Marini+iDigBio'!$D$2:$J$306, 7, FALSE)</f>
        <v>145.66666666666666</v>
      </c>
      <c r="I276" t="e">
        <v>#N/A</v>
      </c>
      <c r="J276" s="11" t="s">
        <v>846</v>
      </c>
    </row>
    <row r="277" spans="1:10" ht="30" x14ac:dyDescent="0.45">
      <c r="A277" s="2" t="s">
        <v>515</v>
      </c>
      <c r="B277" s="8" t="s">
        <v>618</v>
      </c>
      <c r="C277">
        <v>63.430500000000002</v>
      </c>
      <c r="D277">
        <v>10.395099999999999</v>
      </c>
      <c r="E277" t="s">
        <v>423</v>
      </c>
      <c r="F277" t="s">
        <v>446</v>
      </c>
      <c r="G277" t="s">
        <v>446</v>
      </c>
      <c r="H277" s="6">
        <f>VLOOKUP(A277, '[1]Marini+iDigBio'!$D$2:$J$306, 7, FALSE)</f>
        <v>133.33333333333334</v>
      </c>
      <c r="I277" t="e">
        <v>#N/A</v>
      </c>
      <c r="J277" s="11" t="s">
        <v>847</v>
      </c>
    </row>
    <row r="278" spans="1:10" ht="31.5" x14ac:dyDescent="0.45">
      <c r="A278" s="2" t="s">
        <v>516</v>
      </c>
      <c r="B278" s="8" t="s">
        <v>619</v>
      </c>
      <c r="C278">
        <v>-30.034600000000001</v>
      </c>
      <c r="D278">
        <v>-51.217700000000001</v>
      </c>
      <c r="E278" t="s">
        <v>433</v>
      </c>
      <c r="F278" t="s">
        <v>451</v>
      </c>
      <c r="G278" t="s">
        <v>451</v>
      </c>
      <c r="H278" s="6">
        <f>VLOOKUP(A278, '[1]Marini+iDigBio'!$D$2:$J$306, 7, FALSE)</f>
        <v>113</v>
      </c>
      <c r="I278" t="e">
        <v>#N/A</v>
      </c>
      <c r="J278" s="11" t="s">
        <v>923</v>
      </c>
    </row>
    <row r="279" spans="1:10" ht="30" x14ac:dyDescent="0.45">
      <c r="A279" s="2" t="s">
        <v>517</v>
      </c>
      <c r="B279" s="8" t="s">
        <v>620</v>
      </c>
      <c r="C279">
        <v>52.699100000000001</v>
      </c>
      <c r="D279">
        <v>23.702000000000002</v>
      </c>
      <c r="E279" t="s">
        <v>430</v>
      </c>
      <c r="F279" t="s">
        <v>446</v>
      </c>
      <c r="G279" t="s">
        <v>446</v>
      </c>
      <c r="H279" s="6">
        <f>VLOOKUP(A279, '[1]Marini+iDigBio'!$D$2:$J$306, 7, FALSE)</f>
        <v>111.66666666666667</v>
      </c>
      <c r="I279" t="e">
        <v>#N/A</v>
      </c>
      <c r="J279" s="11" t="s">
        <v>924</v>
      </c>
    </row>
    <row r="280" spans="1:10" ht="31.5" x14ac:dyDescent="0.45">
      <c r="A280" s="2" t="s">
        <v>518</v>
      </c>
      <c r="B280" s="8" t="s">
        <v>621</v>
      </c>
      <c r="C280">
        <v>44.418399999999998</v>
      </c>
      <c r="D280">
        <v>12.2035</v>
      </c>
      <c r="E280" t="s">
        <v>432</v>
      </c>
      <c r="F280" t="s">
        <v>446</v>
      </c>
      <c r="G280" t="s">
        <v>446</v>
      </c>
      <c r="H280" s="6">
        <f>VLOOKUP(A280, '[1]Marini+iDigBio'!$D$2:$J$306, 7, FALSE)</f>
        <v>110</v>
      </c>
      <c r="I280" t="e">
        <v>#N/A</v>
      </c>
      <c r="J280" s="11" t="s">
        <v>925</v>
      </c>
    </row>
    <row r="281" spans="1:10" ht="15.75" x14ac:dyDescent="0.45">
      <c r="A281" s="2" t="s">
        <v>519</v>
      </c>
      <c r="B281" s="8" t="s">
        <v>622</v>
      </c>
      <c r="C281">
        <v>-3.7183999999999999</v>
      </c>
      <c r="D281">
        <v>-38.542299999999997</v>
      </c>
      <c r="E281" t="s">
        <v>433</v>
      </c>
      <c r="F281" t="s">
        <v>451</v>
      </c>
      <c r="G281" t="s">
        <v>451</v>
      </c>
      <c r="H281" s="6">
        <f>VLOOKUP(A281, '[1]Marini+iDigBio'!$D$2:$J$306, 7, FALSE)</f>
        <v>107</v>
      </c>
      <c r="I281" t="e">
        <v>#N/A</v>
      </c>
      <c r="J281" s="11" t="s">
        <v>848</v>
      </c>
    </row>
    <row r="282" spans="1:10" ht="30" x14ac:dyDescent="0.45">
      <c r="A282" s="2" t="s">
        <v>520</v>
      </c>
      <c r="B282" s="8" t="s">
        <v>623</v>
      </c>
      <c r="C282">
        <v>-30.033100000000001</v>
      </c>
      <c r="D282">
        <v>-51.23</v>
      </c>
      <c r="E282" t="s">
        <v>433</v>
      </c>
      <c r="F282" t="s">
        <v>451</v>
      </c>
      <c r="G282" t="s">
        <v>451</v>
      </c>
      <c r="H282" s="6">
        <f>VLOOKUP(A282, '[1]Marini+iDigBio'!$D$2:$J$306, 7, FALSE)</f>
        <v>100</v>
      </c>
      <c r="I282" t="e">
        <v>#N/A</v>
      </c>
      <c r="J282" s="11" t="s">
        <v>926</v>
      </c>
    </row>
    <row r="283" spans="1:10" ht="31.5" x14ac:dyDescent="0.45">
      <c r="A283" s="2" t="s">
        <v>521</v>
      </c>
      <c r="B283" s="8" t="s">
        <v>624</v>
      </c>
      <c r="C283">
        <v>4.6378000000000004</v>
      </c>
      <c r="D283">
        <v>-74.083299999999994</v>
      </c>
      <c r="E283" t="s">
        <v>428</v>
      </c>
      <c r="F283" t="s">
        <v>451</v>
      </c>
      <c r="G283" t="s">
        <v>451</v>
      </c>
      <c r="H283" s="6">
        <f>VLOOKUP(A283, '[1]Marini+iDigBio'!$D$2:$J$306, 7, FALSE)</f>
        <v>100</v>
      </c>
      <c r="I283" t="e">
        <v>#N/A</v>
      </c>
      <c r="J283" s="12"/>
    </row>
    <row r="284" spans="1:10" ht="45" x14ac:dyDescent="0.45">
      <c r="A284" s="2" t="s">
        <v>522</v>
      </c>
      <c r="B284" s="8" t="s">
        <v>625</v>
      </c>
      <c r="C284">
        <v>44.409599999999998</v>
      </c>
      <c r="D284">
        <v>8.9338999999999995</v>
      </c>
      <c r="E284" t="s">
        <v>432</v>
      </c>
      <c r="F284" t="s">
        <v>446</v>
      </c>
      <c r="G284" t="s">
        <v>446</v>
      </c>
      <c r="H284" s="6">
        <f>VLOOKUP(A284, '[1]Marini+iDigBio'!$D$2:$J$306, 7, FALSE)</f>
        <v>100</v>
      </c>
      <c r="I284" t="e">
        <v>#N/A</v>
      </c>
      <c r="J284" s="11" t="s">
        <v>927</v>
      </c>
    </row>
    <row r="285" spans="1:10" ht="15.75" x14ac:dyDescent="0.45">
      <c r="A285" s="2" t="s">
        <v>523</v>
      </c>
      <c r="B285" s="8" t="s">
        <v>626</v>
      </c>
      <c r="C285">
        <v>39.299199999999999</v>
      </c>
      <c r="D285">
        <v>-76.609200000000001</v>
      </c>
      <c r="E285" t="s">
        <v>411</v>
      </c>
      <c r="F285" t="s">
        <v>447</v>
      </c>
      <c r="G285" t="s">
        <v>447</v>
      </c>
      <c r="H285" s="6">
        <f>VLOOKUP(A285, '[1]Marini+iDigBio'!$D$2:$J$306, 7, FALSE)</f>
        <v>98</v>
      </c>
      <c r="I285" t="e">
        <v>#N/A</v>
      </c>
      <c r="J285" s="12"/>
    </row>
    <row r="286" spans="1:10" ht="30" x14ac:dyDescent="0.45">
      <c r="A286" s="2" t="s">
        <v>524</v>
      </c>
      <c r="B286" s="8" t="s">
        <v>627</v>
      </c>
      <c r="C286">
        <v>53.092700000000001</v>
      </c>
      <c r="D286">
        <v>8.8508999999999993</v>
      </c>
      <c r="E286" t="s">
        <v>412</v>
      </c>
      <c r="F286" t="s">
        <v>446</v>
      </c>
      <c r="G286" t="s">
        <v>446</v>
      </c>
      <c r="H286" s="6">
        <f>VLOOKUP(A286, '[1]Marini+iDigBio'!$D$2:$J$306, 7, FALSE)</f>
        <v>90</v>
      </c>
      <c r="I286" t="e">
        <v>#N/A</v>
      </c>
      <c r="J286" s="11" t="s">
        <v>928</v>
      </c>
    </row>
    <row r="287" spans="1:10" ht="31.5" x14ac:dyDescent="0.45">
      <c r="A287" s="2" t="s">
        <v>525</v>
      </c>
      <c r="B287" s="8" t="s">
        <v>628</v>
      </c>
      <c r="C287">
        <v>-31.646899999999999</v>
      </c>
      <c r="D287">
        <v>-60.710099999999997</v>
      </c>
      <c r="E287" t="s">
        <v>442</v>
      </c>
      <c r="F287" t="s">
        <v>451</v>
      </c>
      <c r="G287" t="s">
        <v>451</v>
      </c>
      <c r="H287" s="6">
        <f>VLOOKUP(A287, '[1]Marini+iDigBio'!$D$2:$J$306, 7, FALSE)</f>
        <v>73.333333333333329</v>
      </c>
      <c r="I287" t="e">
        <v>#N/A</v>
      </c>
      <c r="J287" s="11" t="s">
        <v>929</v>
      </c>
    </row>
    <row r="288" spans="1:10" ht="30" x14ac:dyDescent="0.45">
      <c r="A288" s="2" t="s">
        <v>526</v>
      </c>
      <c r="B288" s="8" t="s">
        <v>629</v>
      </c>
      <c r="C288">
        <v>10.3406</v>
      </c>
      <c r="D288">
        <v>-67.739800000000002</v>
      </c>
      <c r="E288" t="s">
        <v>630</v>
      </c>
      <c r="F288" t="s">
        <v>451</v>
      </c>
      <c r="G288" t="s">
        <v>451</v>
      </c>
      <c r="H288" s="6">
        <f>VLOOKUP(A288, '[1]Marini+iDigBio'!$D$2:$J$306, 7, FALSE)</f>
        <v>60</v>
      </c>
      <c r="I288" t="e">
        <v>#N/A</v>
      </c>
      <c r="J288" s="11" t="s">
        <v>930</v>
      </c>
    </row>
    <row r="289" spans="1:10" ht="15.75" x14ac:dyDescent="0.45">
      <c r="A289" s="2" t="s">
        <v>527</v>
      </c>
      <c r="B289" s="8" t="s">
        <v>631</v>
      </c>
      <c r="C289">
        <v>50.207999999999998</v>
      </c>
      <c r="D289">
        <v>15.832700000000001</v>
      </c>
      <c r="E289" t="s">
        <v>427</v>
      </c>
      <c r="F289" t="s">
        <v>446</v>
      </c>
      <c r="G289" t="s">
        <v>446</v>
      </c>
      <c r="H289" s="6">
        <f>VLOOKUP(A289, '[1]Marini+iDigBio'!$D$2:$J$306, 7, FALSE)</f>
        <v>50</v>
      </c>
      <c r="I289" t="e">
        <v>#N/A</v>
      </c>
      <c r="J289" s="11" t="s">
        <v>931</v>
      </c>
    </row>
    <row r="290" spans="1:10" ht="30" x14ac:dyDescent="0.45">
      <c r="A290" s="2" t="s">
        <v>528</v>
      </c>
      <c r="B290" s="8" t="s">
        <v>632</v>
      </c>
      <c r="C290">
        <v>47.490200000000002</v>
      </c>
      <c r="D290">
        <v>4.3335999999999997</v>
      </c>
      <c r="E290" t="s">
        <v>425</v>
      </c>
      <c r="F290" t="s">
        <v>446</v>
      </c>
      <c r="G290" t="s">
        <v>446</v>
      </c>
      <c r="H290" s="6">
        <f>VLOOKUP(A290, '[1]Marini+iDigBio'!$D$2:$J$306, 7, FALSE)</f>
        <v>50</v>
      </c>
      <c r="I290" t="e">
        <v>#N/A</v>
      </c>
      <c r="J290" s="11" t="s">
        <v>932</v>
      </c>
    </row>
    <row r="291" spans="1:10" ht="60" x14ac:dyDescent="0.45">
      <c r="A291" s="2" t="s">
        <v>529</v>
      </c>
      <c r="B291" s="8" t="s">
        <v>633</v>
      </c>
      <c r="C291">
        <v>49.3964</v>
      </c>
      <c r="D291">
        <v>6.9225000000000003</v>
      </c>
      <c r="E291" t="s">
        <v>412</v>
      </c>
      <c r="F291" t="s">
        <v>446</v>
      </c>
      <c r="G291" t="s">
        <v>446</v>
      </c>
      <c r="H291" s="6">
        <f>VLOOKUP(A291, '[1]Marini+iDigBio'!$D$2:$J$306, 7, FALSE)</f>
        <v>49.666666666666664</v>
      </c>
      <c r="I291" t="e">
        <v>#N/A</v>
      </c>
      <c r="J291" s="11" t="s">
        <v>933</v>
      </c>
    </row>
    <row r="292" spans="1:10" ht="15.75" x14ac:dyDescent="0.45">
      <c r="A292" s="2" t="s">
        <v>530</v>
      </c>
      <c r="B292" s="8" t="s">
        <v>634</v>
      </c>
      <c r="C292">
        <v>56.009700000000002</v>
      </c>
      <c r="D292">
        <v>92.852599999999995</v>
      </c>
      <c r="E292" t="s">
        <v>422</v>
      </c>
      <c r="F292" t="s">
        <v>446</v>
      </c>
      <c r="G292" t="s">
        <v>653</v>
      </c>
      <c r="H292" s="6">
        <f>VLOOKUP(A292, '[1]Marini+iDigBio'!$D$2:$J$306, 7, FALSE)</f>
        <v>46.666666666666664</v>
      </c>
      <c r="I292" t="e">
        <v>#N/A</v>
      </c>
      <c r="J292" s="11" t="s">
        <v>934</v>
      </c>
    </row>
    <row r="293" spans="1:10" ht="15.75" x14ac:dyDescent="0.45">
      <c r="A293" s="2" t="s">
        <v>531</v>
      </c>
      <c r="B293" s="8" t="s">
        <v>635</v>
      </c>
      <c r="C293">
        <v>-33.443100000000001</v>
      </c>
      <c r="D293">
        <v>-70.653599999999997</v>
      </c>
      <c r="E293" t="s">
        <v>636</v>
      </c>
      <c r="F293" t="s">
        <v>451</v>
      </c>
      <c r="G293" t="s">
        <v>451</v>
      </c>
      <c r="H293" s="6">
        <f>VLOOKUP(A293, '[1]Marini+iDigBio'!$D$2:$J$306, 7, FALSE)</f>
        <v>39</v>
      </c>
      <c r="I293" t="e">
        <v>#N/A</v>
      </c>
      <c r="J293" s="11" t="s">
        <v>849</v>
      </c>
    </row>
    <row r="294" spans="1:10" ht="15.75" x14ac:dyDescent="0.45">
      <c r="A294" s="2" t="s">
        <v>532</v>
      </c>
      <c r="B294" s="8" t="s">
        <v>637</v>
      </c>
      <c r="C294">
        <v>10.486599999999999</v>
      </c>
      <c r="D294">
        <v>-66.847099999999998</v>
      </c>
      <c r="E294" t="s">
        <v>630</v>
      </c>
      <c r="F294" t="s">
        <v>451</v>
      </c>
      <c r="G294" t="s">
        <v>451</v>
      </c>
      <c r="H294" s="6">
        <f>VLOOKUP(A294, '[1]Marini+iDigBio'!$D$2:$J$306, 7, FALSE)</f>
        <v>38.333333333333336</v>
      </c>
      <c r="I294" t="e">
        <v>#N/A</v>
      </c>
      <c r="J294" s="13" t="s">
        <v>935</v>
      </c>
    </row>
    <row r="295" spans="1:10" ht="45" x14ac:dyDescent="0.45">
      <c r="A295" s="2" t="s">
        <v>533</v>
      </c>
      <c r="B295" s="8" t="s">
        <v>638</v>
      </c>
      <c r="C295">
        <v>9.9357000000000006</v>
      </c>
      <c r="D295">
        <v>-84.051500000000004</v>
      </c>
      <c r="E295" t="s">
        <v>546</v>
      </c>
      <c r="F295" t="s">
        <v>447</v>
      </c>
      <c r="G295" t="s">
        <v>447</v>
      </c>
      <c r="H295" s="6">
        <f>VLOOKUP(A295, '[1]Marini+iDigBio'!$D$2:$J$306, 7, FALSE)</f>
        <v>36</v>
      </c>
      <c r="I295" t="e">
        <v>#N/A</v>
      </c>
      <c r="J295" s="11" t="s">
        <v>936</v>
      </c>
    </row>
    <row r="296" spans="1:10" ht="30" x14ac:dyDescent="0.45">
      <c r="A296" s="2" t="s">
        <v>534</v>
      </c>
      <c r="B296" s="8" t="s">
        <v>639</v>
      </c>
      <c r="C296">
        <v>-16.5</v>
      </c>
      <c r="D296">
        <v>-68.150000000000006</v>
      </c>
      <c r="E296" t="s">
        <v>640</v>
      </c>
      <c r="F296" t="s">
        <v>451</v>
      </c>
      <c r="G296" t="s">
        <v>451</v>
      </c>
      <c r="H296" s="6">
        <f>VLOOKUP(A296, '[1]Marini+iDigBio'!$D$2:$J$306, 7, FALSE)</f>
        <v>34</v>
      </c>
      <c r="I296" t="e">
        <v>#N/A</v>
      </c>
      <c r="J296" s="11" t="s">
        <v>937</v>
      </c>
    </row>
    <row r="297" spans="1:10" ht="30" x14ac:dyDescent="0.45">
      <c r="A297" s="2" t="s">
        <v>535</v>
      </c>
      <c r="B297" s="8" t="s">
        <v>641</v>
      </c>
      <c r="C297">
        <v>57.152200000000001</v>
      </c>
      <c r="D297">
        <v>65.527199999999993</v>
      </c>
      <c r="E297" t="s">
        <v>422</v>
      </c>
      <c r="F297" t="s">
        <v>446</v>
      </c>
      <c r="G297" t="s">
        <v>653</v>
      </c>
      <c r="H297" s="6">
        <f>VLOOKUP(A297, '[1]Marini+iDigBio'!$D$2:$J$306, 7, FALSE)</f>
        <v>33.333333333333336</v>
      </c>
      <c r="I297" t="e">
        <v>#N/A</v>
      </c>
      <c r="J297" s="11" t="s">
        <v>850</v>
      </c>
    </row>
    <row r="298" spans="1:10" ht="47.25" x14ac:dyDescent="0.45">
      <c r="A298" s="2" t="s">
        <v>536</v>
      </c>
      <c r="B298" s="8" t="s">
        <v>642</v>
      </c>
      <c r="C298">
        <v>18.923999999999999</v>
      </c>
      <c r="D298">
        <v>-99.221599999999995</v>
      </c>
      <c r="E298" t="s">
        <v>616</v>
      </c>
      <c r="F298" t="s">
        <v>447</v>
      </c>
      <c r="G298" t="s">
        <v>447</v>
      </c>
      <c r="H298" s="6">
        <f>VLOOKUP(A298, '[1]Marini+iDigBio'!$D$2:$J$306, 7, FALSE)</f>
        <v>28.666666666666668</v>
      </c>
      <c r="I298" t="e">
        <v>#N/A</v>
      </c>
      <c r="J298" s="12"/>
    </row>
    <row r="299" spans="1:10" ht="30" x14ac:dyDescent="0.45">
      <c r="A299" s="2" t="s">
        <v>537</v>
      </c>
      <c r="B299" s="8" t="s">
        <v>643</v>
      </c>
      <c r="C299">
        <v>-12.4634</v>
      </c>
      <c r="D299">
        <v>130.84559999999999</v>
      </c>
      <c r="E299" t="s">
        <v>417</v>
      </c>
      <c r="F299" t="s">
        <v>417</v>
      </c>
      <c r="G299" t="s">
        <v>417</v>
      </c>
      <c r="H299" s="6">
        <f>VLOOKUP(A299, '[1]Marini+iDigBio'!$D$2:$J$306, 7, FALSE)</f>
        <v>20</v>
      </c>
      <c r="I299" t="e">
        <v>#N/A</v>
      </c>
      <c r="J299" s="11" t="s">
        <v>851</v>
      </c>
    </row>
    <row r="300" spans="1:10" ht="31.5" x14ac:dyDescent="0.45">
      <c r="A300" s="2" t="s">
        <v>538</v>
      </c>
      <c r="B300" s="8" t="s">
        <v>644</v>
      </c>
      <c r="C300">
        <v>13.6929</v>
      </c>
      <c r="D300">
        <v>-89.218199999999996</v>
      </c>
      <c r="E300" t="s">
        <v>645</v>
      </c>
      <c r="F300" t="s">
        <v>447</v>
      </c>
      <c r="G300" t="s">
        <v>447</v>
      </c>
      <c r="H300" s="6">
        <f>VLOOKUP(A300, '[1]Marini+iDigBio'!$D$2:$J$306, 7, FALSE)</f>
        <v>9</v>
      </c>
      <c r="I300" t="e">
        <v>#N/A</v>
      </c>
      <c r="J300" s="12"/>
    </row>
    <row r="301" spans="1:10" ht="75" x14ac:dyDescent="0.45">
      <c r="A301" s="2" t="s">
        <v>539</v>
      </c>
      <c r="B301" s="8" t="s">
        <v>646</v>
      </c>
      <c r="C301">
        <v>19.325299999999999</v>
      </c>
      <c r="D301">
        <v>-99.176100000000005</v>
      </c>
      <c r="E301" t="s">
        <v>616</v>
      </c>
      <c r="F301" t="s">
        <v>447</v>
      </c>
      <c r="G301" t="s">
        <v>447</v>
      </c>
      <c r="H301" s="6">
        <f>VLOOKUP(A301, '[1]Marini+iDigBio'!$D$2:$J$306, 7, FALSE)</f>
        <v>9</v>
      </c>
      <c r="I301" t="e">
        <v>#N/A</v>
      </c>
      <c r="J301" s="11" t="s">
        <v>938</v>
      </c>
    </row>
    <row r="302" spans="1:10" ht="31.5" x14ac:dyDescent="0.45">
      <c r="A302" s="3" t="s">
        <v>540</v>
      </c>
      <c r="B302" s="8" t="s">
        <v>647</v>
      </c>
      <c r="C302">
        <v>41.786799999999999</v>
      </c>
      <c r="D302">
        <v>-88.348299999999995</v>
      </c>
      <c r="E302" t="s">
        <v>411</v>
      </c>
      <c r="F302" t="s">
        <v>447</v>
      </c>
      <c r="G302" t="s">
        <v>447</v>
      </c>
      <c r="H302" s="6">
        <f>VLOOKUP(A302, '[1]Marini+iDigBio'!$D$2:$J$306, 7, FALSE)</f>
        <v>803</v>
      </c>
      <c r="I302" t="e">
        <v>#N/A</v>
      </c>
      <c r="J302" s="11" t="s">
        <v>852</v>
      </c>
    </row>
    <row r="303" spans="1:10" ht="15.75" x14ac:dyDescent="0.45">
      <c r="A303" s="4" t="s">
        <v>541</v>
      </c>
      <c r="B303" s="8" t="s">
        <v>648</v>
      </c>
      <c r="C303">
        <v>39.747399999999999</v>
      </c>
      <c r="D303">
        <v>-104.9423</v>
      </c>
      <c r="E303" t="s">
        <v>411</v>
      </c>
      <c r="F303" t="s">
        <v>447</v>
      </c>
      <c r="G303" t="s">
        <v>447</v>
      </c>
      <c r="H303" s="6">
        <f>VLOOKUP(A303, '[1]Marini+iDigBio'!$D$2:$J$306, 7, FALSE)</f>
        <v>7148</v>
      </c>
      <c r="I303" t="e">
        <v>#N/A</v>
      </c>
      <c r="J303" s="11" t="s">
        <v>714</v>
      </c>
    </row>
    <row r="304" spans="1:10" ht="31.5" x14ac:dyDescent="0.45">
      <c r="A304" s="4" t="s">
        <v>542</v>
      </c>
      <c r="B304" s="8" t="s">
        <v>649</v>
      </c>
      <c r="C304">
        <v>44.396799999999999</v>
      </c>
      <c r="D304">
        <v>-68.221000000000004</v>
      </c>
      <c r="E304" t="s">
        <v>411</v>
      </c>
      <c r="F304" t="s">
        <v>447</v>
      </c>
      <c r="G304" t="s">
        <v>447</v>
      </c>
      <c r="I304" t="e">
        <v>#N/A</v>
      </c>
      <c r="J304" s="12"/>
    </row>
    <row r="305" spans="1:10" ht="30" x14ac:dyDescent="0.45">
      <c r="A305" s="4" t="s">
        <v>543</v>
      </c>
      <c r="B305" s="8" t="s">
        <v>650</v>
      </c>
      <c r="C305">
        <v>35.195</v>
      </c>
      <c r="D305">
        <v>-97.456500000000005</v>
      </c>
      <c r="E305" t="s">
        <v>411</v>
      </c>
      <c r="F305" t="s">
        <v>447</v>
      </c>
      <c r="G305" t="s">
        <v>447</v>
      </c>
      <c r="I305" t="e">
        <v>#N/A</v>
      </c>
      <c r="J305" s="11" t="s">
        <v>719</v>
      </c>
    </row>
    <row r="306" spans="1:10" ht="30" x14ac:dyDescent="0.45">
      <c r="A306" s="4" t="s">
        <v>544</v>
      </c>
      <c r="B306" s="8" t="s">
        <v>651</v>
      </c>
      <c r="C306">
        <v>41.312899999999999</v>
      </c>
      <c r="D306">
        <v>-105.5872</v>
      </c>
      <c r="E306" t="s">
        <v>411</v>
      </c>
      <c r="F306" t="s">
        <v>447</v>
      </c>
      <c r="G306" t="s">
        <v>447</v>
      </c>
      <c r="I306" t="e">
        <v>#N/A</v>
      </c>
      <c r="J306" s="11" t="s">
        <v>939</v>
      </c>
    </row>
    <row r="307" spans="1:10" ht="15.75" x14ac:dyDescent="0.45">
      <c r="A307" s="9" t="s">
        <v>656</v>
      </c>
      <c r="B307" s="8" t="s">
        <v>657</v>
      </c>
      <c r="C307">
        <v>23.828354999999998</v>
      </c>
      <c r="D307">
        <v>120.80121</v>
      </c>
      <c r="E307" t="s">
        <v>657</v>
      </c>
      <c r="F307" t="s">
        <v>658</v>
      </c>
      <c r="G307" t="s">
        <v>658</v>
      </c>
      <c r="H307" s="6">
        <v>835</v>
      </c>
      <c r="I307">
        <v>1</v>
      </c>
      <c r="J307" s="11" t="s">
        <v>853</v>
      </c>
    </row>
    <row r="308" spans="1:10" x14ac:dyDescent="0.45">
      <c r="J308" s="12"/>
    </row>
    <row r="309" spans="1:10" x14ac:dyDescent="0.45">
      <c r="J309" s="12"/>
    </row>
    <row r="310" spans="1:10" x14ac:dyDescent="0.45">
      <c r="J310" s="12"/>
    </row>
    <row r="311" spans="1:10" x14ac:dyDescent="0.45">
      <c r="J311" s="12"/>
    </row>
    <row r="312" spans="1:10" x14ac:dyDescent="0.45">
      <c r="J312" s="12"/>
    </row>
    <row r="313" spans="1:10" x14ac:dyDescent="0.45">
      <c r="J313" s="12"/>
    </row>
    <row r="314" spans="1:10" x14ac:dyDescent="0.45">
      <c r="J314" s="12"/>
    </row>
    <row r="315" spans="1:10" x14ac:dyDescent="0.45">
      <c r="J315" s="12"/>
    </row>
    <row r="316" spans="1:10" x14ac:dyDescent="0.45">
      <c r="J316" s="12"/>
    </row>
    <row r="317" spans="1:10" x14ac:dyDescent="0.45">
      <c r="J317" s="12"/>
    </row>
    <row r="318" spans="1:10" x14ac:dyDescent="0.45">
      <c r="J318" s="12"/>
    </row>
    <row r="319" spans="1:10" x14ac:dyDescent="0.45">
      <c r="J319" s="12"/>
    </row>
    <row r="320" spans="1:10" x14ac:dyDescent="0.45">
      <c r="J320" s="12"/>
    </row>
    <row r="321" spans="10:10" x14ac:dyDescent="0.45">
      <c r="J321" s="12"/>
    </row>
    <row r="322" spans="10:10" x14ac:dyDescent="0.45">
      <c r="J322" s="12"/>
    </row>
    <row r="323" spans="10:10" x14ac:dyDescent="0.45">
      <c r="J323" s="12"/>
    </row>
    <row r="324" spans="10:10" x14ac:dyDescent="0.45">
      <c r="J324" s="12"/>
    </row>
    <row r="325" spans="10:10" x14ac:dyDescent="0.45">
      <c r="J325" s="12"/>
    </row>
    <row r="326" spans="10:10" x14ac:dyDescent="0.45">
      <c r="J326" s="12"/>
    </row>
    <row r="327" spans="10:10" x14ac:dyDescent="0.45">
      <c r="J327" s="12"/>
    </row>
    <row r="328" spans="10:10" x14ac:dyDescent="0.45">
      <c r="J328" s="12"/>
    </row>
    <row r="329" spans="10:10" x14ac:dyDescent="0.45">
      <c r="J329" s="12"/>
    </row>
    <row r="330" spans="10:10" x14ac:dyDescent="0.45">
      <c r="J330" s="12"/>
    </row>
    <row r="331" spans="10:10" x14ac:dyDescent="0.45">
      <c r="J331" s="12"/>
    </row>
    <row r="332" spans="10:10" x14ac:dyDescent="0.45">
      <c r="J332" s="12"/>
    </row>
    <row r="333" spans="10:10" x14ac:dyDescent="0.45">
      <c r="J333" s="12"/>
    </row>
    <row r="334" spans="10:10" x14ac:dyDescent="0.45">
      <c r="J334" s="12"/>
    </row>
    <row r="335" spans="10:10" x14ac:dyDescent="0.45">
      <c r="J335" s="12"/>
    </row>
    <row r="336" spans="10:10" x14ac:dyDescent="0.45">
      <c r="J336" s="12"/>
    </row>
    <row r="337" spans="10:10" x14ac:dyDescent="0.45">
      <c r="J337" s="12"/>
    </row>
    <row r="338" spans="10:10" x14ac:dyDescent="0.45">
      <c r="J338" s="12"/>
    </row>
    <row r="339" spans="10:10" x14ac:dyDescent="0.45">
      <c r="J339" s="12"/>
    </row>
    <row r="340" spans="10:10" x14ac:dyDescent="0.45">
      <c r="J340" s="12"/>
    </row>
    <row r="341" spans="10:10" x14ac:dyDescent="0.45">
      <c r="J341" s="12"/>
    </row>
    <row r="342" spans="10:10" x14ac:dyDescent="0.45">
      <c r="J342" s="12"/>
    </row>
    <row r="343" spans="10:10" x14ac:dyDescent="0.45">
      <c r="J343" s="12"/>
    </row>
    <row r="344" spans="10:10" x14ac:dyDescent="0.45">
      <c r="J344" s="12"/>
    </row>
    <row r="345" spans="10:10" x14ac:dyDescent="0.45">
      <c r="J345" s="12"/>
    </row>
    <row r="346" spans="10:10" x14ac:dyDescent="0.45">
      <c r="J346" s="12"/>
    </row>
    <row r="347" spans="10:10" x14ac:dyDescent="0.45">
      <c r="J347" s="12"/>
    </row>
    <row r="348" spans="10:10" x14ac:dyDescent="0.45">
      <c r="J348" s="12"/>
    </row>
    <row r="349" spans="10:10" x14ac:dyDescent="0.45">
      <c r="J349" s="12"/>
    </row>
    <row r="350" spans="10:10" x14ac:dyDescent="0.45">
      <c r="J350" s="12"/>
    </row>
    <row r="351" spans="10:10" x14ac:dyDescent="0.45">
      <c r="J351" s="12"/>
    </row>
    <row r="352" spans="10:10" x14ac:dyDescent="0.45">
      <c r="J352" s="12"/>
    </row>
    <row r="353" spans="10:10" x14ac:dyDescent="0.45">
      <c r="J353" s="12"/>
    </row>
    <row r="354" spans="10:10" x14ac:dyDescent="0.45">
      <c r="J354" s="12"/>
    </row>
    <row r="355" spans="10:10" x14ac:dyDescent="0.45">
      <c r="J355" s="12"/>
    </row>
    <row r="356" spans="10:10" x14ac:dyDescent="0.45">
      <c r="J356" s="12"/>
    </row>
    <row r="357" spans="10:10" x14ac:dyDescent="0.45">
      <c r="J357" s="12"/>
    </row>
    <row r="358" spans="10:10" x14ac:dyDescent="0.45">
      <c r="J358" s="12"/>
    </row>
    <row r="359" spans="10:10" x14ac:dyDescent="0.45">
      <c r="J359" s="12"/>
    </row>
    <row r="360" spans="10:10" x14ac:dyDescent="0.45">
      <c r="J360" s="12"/>
    </row>
    <row r="361" spans="10:10" x14ac:dyDescent="0.45">
      <c r="J361" s="12"/>
    </row>
    <row r="362" spans="10:10" x14ac:dyDescent="0.45">
      <c r="J362" s="12"/>
    </row>
    <row r="363" spans="10:10" x14ac:dyDescent="0.45">
      <c r="J363" s="12"/>
    </row>
    <row r="364" spans="10:10" x14ac:dyDescent="0.45">
      <c r="J364" s="12"/>
    </row>
    <row r="365" spans="10:10" x14ac:dyDescent="0.45">
      <c r="J365" s="12"/>
    </row>
    <row r="366" spans="10:10" x14ac:dyDescent="0.45">
      <c r="J366" s="12"/>
    </row>
    <row r="367" spans="10:10" x14ac:dyDescent="0.45">
      <c r="J367" s="12"/>
    </row>
    <row r="368" spans="10:10" x14ac:dyDescent="0.45">
      <c r="J368" s="12"/>
    </row>
    <row r="369" spans="10:10" x14ac:dyDescent="0.45">
      <c r="J369" s="12"/>
    </row>
    <row r="370" spans="10:10" x14ac:dyDescent="0.45">
      <c r="J370" s="12"/>
    </row>
    <row r="371" spans="10:10" x14ac:dyDescent="0.45">
      <c r="J371" s="12"/>
    </row>
    <row r="372" spans="10:10" x14ac:dyDescent="0.45">
      <c r="J372" s="12"/>
    </row>
    <row r="373" spans="10:10" x14ac:dyDescent="0.45">
      <c r="J373" s="12"/>
    </row>
    <row r="374" spans="10:10" x14ac:dyDescent="0.45">
      <c r="J374" s="12"/>
    </row>
    <row r="375" spans="10:10" x14ac:dyDescent="0.45">
      <c r="J375" s="12"/>
    </row>
    <row r="376" spans="10:10" x14ac:dyDescent="0.45">
      <c r="J376" s="12"/>
    </row>
    <row r="377" spans="10:10" x14ac:dyDescent="0.45">
      <c r="J377" s="12"/>
    </row>
    <row r="378" spans="10:10" x14ac:dyDescent="0.45">
      <c r="J378" s="12"/>
    </row>
    <row r="379" spans="10:10" x14ac:dyDescent="0.45">
      <c r="J379" s="12"/>
    </row>
    <row r="380" spans="10:10" x14ac:dyDescent="0.45">
      <c r="J380" s="12"/>
    </row>
    <row r="381" spans="10:10" x14ac:dyDescent="0.45">
      <c r="J381" s="12"/>
    </row>
    <row r="382" spans="10:10" x14ac:dyDescent="0.45">
      <c r="J382" s="12"/>
    </row>
    <row r="383" spans="10:10" x14ac:dyDescent="0.45">
      <c r="J383" s="12"/>
    </row>
    <row r="384" spans="10:10" x14ac:dyDescent="0.45">
      <c r="J384" s="12"/>
    </row>
    <row r="385" spans="10:10" x14ac:dyDescent="0.45">
      <c r="J385" s="12"/>
    </row>
    <row r="386" spans="10:10" x14ac:dyDescent="0.45">
      <c r="J386" s="12"/>
    </row>
    <row r="387" spans="10:10" x14ac:dyDescent="0.45">
      <c r="J387" s="12"/>
    </row>
    <row r="388" spans="10:10" x14ac:dyDescent="0.45">
      <c r="J388" s="12"/>
    </row>
    <row r="389" spans="10:10" x14ac:dyDescent="0.45">
      <c r="J389" s="12"/>
    </row>
    <row r="390" spans="10:10" x14ac:dyDescent="0.45">
      <c r="J390" s="12"/>
    </row>
    <row r="391" spans="10:10" x14ac:dyDescent="0.45">
      <c r="J391" s="12"/>
    </row>
    <row r="392" spans="10:10" x14ac:dyDescent="0.45">
      <c r="J392" s="12"/>
    </row>
    <row r="393" spans="10:10" x14ac:dyDescent="0.45">
      <c r="J393" s="12"/>
    </row>
    <row r="394" spans="10:10" x14ac:dyDescent="0.45">
      <c r="J394" s="12"/>
    </row>
    <row r="395" spans="10:10" x14ac:dyDescent="0.45">
      <c r="J395" s="12"/>
    </row>
    <row r="396" spans="10:10" x14ac:dyDescent="0.45">
      <c r="J396" s="12"/>
    </row>
    <row r="397" spans="10:10" x14ac:dyDescent="0.45">
      <c r="J397" s="12"/>
    </row>
    <row r="398" spans="10:10" x14ac:dyDescent="0.45">
      <c r="J398" s="12"/>
    </row>
    <row r="399" spans="10:10" x14ac:dyDescent="0.45">
      <c r="J399" s="12"/>
    </row>
    <row r="400" spans="10:10" x14ac:dyDescent="0.45">
      <c r="J400" s="12"/>
    </row>
    <row r="401" spans="10:10" x14ac:dyDescent="0.45">
      <c r="J401" s="12"/>
    </row>
    <row r="402" spans="10:10" x14ac:dyDescent="0.45">
      <c r="J402" s="12"/>
    </row>
    <row r="403" spans="10:10" x14ac:dyDescent="0.45">
      <c r="J403" s="12"/>
    </row>
    <row r="404" spans="10:10" x14ac:dyDescent="0.45">
      <c r="J404" s="12"/>
    </row>
    <row r="405" spans="10:10" x14ac:dyDescent="0.45">
      <c r="J405" s="12"/>
    </row>
    <row r="406" spans="10:10" x14ac:dyDescent="0.45">
      <c r="J406" s="12"/>
    </row>
    <row r="407" spans="10:10" x14ac:dyDescent="0.45">
      <c r="J407" s="12"/>
    </row>
    <row r="408" spans="10:10" x14ac:dyDescent="0.45">
      <c r="J408" s="12"/>
    </row>
    <row r="409" spans="10:10" x14ac:dyDescent="0.45">
      <c r="J409" s="12"/>
    </row>
    <row r="410" spans="10:10" x14ac:dyDescent="0.45">
      <c r="J410" s="12"/>
    </row>
    <row r="411" spans="10:10" x14ac:dyDescent="0.45">
      <c r="J411" s="12"/>
    </row>
    <row r="412" spans="10:10" x14ac:dyDescent="0.45">
      <c r="J412" s="12"/>
    </row>
    <row r="413" spans="10:10" x14ac:dyDescent="0.45">
      <c r="J413" s="12"/>
    </row>
    <row r="414" spans="10:10" x14ac:dyDescent="0.45">
      <c r="J414" s="12"/>
    </row>
    <row r="415" spans="10:10" x14ac:dyDescent="0.45">
      <c r="J415" s="12"/>
    </row>
    <row r="416" spans="10:10" x14ac:dyDescent="0.45">
      <c r="J416" s="12"/>
    </row>
    <row r="417" spans="10:10" x14ac:dyDescent="0.45">
      <c r="J417" s="12"/>
    </row>
    <row r="418" spans="10:10" x14ac:dyDescent="0.45">
      <c r="J418" s="12"/>
    </row>
    <row r="419" spans="10:10" x14ac:dyDescent="0.45">
      <c r="J419" s="12"/>
    </row>
    <row r="420" spans="10:10" x14ac:dyDescent="0.45">
      <c r="J420" s="12"/>
    </row>
    <row r="421" spans="10:10" x14ac:dyDescent="0.45">
      <c r="J421" s="12"/>
    </row>
    <row r="422" spans="10:10" x14ac:dyDescent="0.45">
      <c r="J422" s="12"/>
    </row>
    <row r="423" spans="10:10" x14ac:dyDescent="0.45">
      <c r="J423" s="12"/>
    </row>
    <row r="424" spans="10:10" x14ac:dyDescent="0.45">
      <c r="J424" s="12"/>
    </row>
    <row r="425" spans="10:10" x14ac:dyDescent="0.45">
      <c r="J425" s="12"/>
    </row>
    <row r="426" spans="10:10" x14ac:dyDescent="0.45">
      <c r="J426" s="12"/>
    </row>
    <row r="427" spans="10:10" x14ac:dyDescent="0.45">
      <c r="J427" s="12"/>
    </row>
    <row r="428" spans="10:10" x14ac:dyDescent="0.45">
      <c r="J428" s="12"/>
    </row>
    <row r="429" spans="10:10" x14ac:dyDescent="0.45">
      <c r="J429" s="12"/>
    </row>
    <row r="430" spans="10:10" x14ac:dyDescent="0.45">
      <c r="J430" s="12"/>
    </row>
    <row r="431" spans="10:10" x14ac:dyDescent="0.45">
      <c r="J431" s="12"/>
    </row>
    <row r="432" spans="10:10" x14ac:dyDescent="0.45">
      <c r="J432" s="12"/>
    </row>
    <row r="433" spans="10:10" x14ac:dyDescent="0.45">
      <c r="J433" s="12"/>
    </row>
    <row r="434" spans="10:10" x14ac:dyDescent="0.45">
      <c r="J434" s="12"/>
    </row>
    <row r="435" spans="10:10" x14ac:dyDescent="0.45">
      <c r="J435" s="12"/>
    </row>
    <row r="436" spans="10:10" x14ac:dyDescent="0.45">
      <c r="J436" s="12"/>
    </row>
    <row r="437" spans="10:10" x14ac:dyDescent="0.45">
      <c r="J437" s="12"/>
    </row>
    <row r="438" spans="10:10" x14ac:dyDescent="0.45">
      <c r="J438" s="12"/>
    </row>
    <row r="439" spans="10:10" x14ac:dyDescent="0.45">
      <c r="J439" s="12"/>
    </row>
    <row r="440" spans="10:10" x14ac:dyDescent="0.45">
      <c r="J440" s="12"/>
    </row>
    <row r="441" spans="10:10" x14ac:dyDescent="0.45">
      <c r="J441" s="12"/>
    </row>
    <row r="442" spans="10:10" x14ac:dyDescent="0.45">
      <c r="J442" s="12"/>
    </row>
    <row r="443" spans="10:10" x14ac:dyDescent="0.45">
      <c r="J443" s="12"/>
    </row>
    <row r="444" spans="10:10" x14ac:dyDescent="0.45">
      <c r="J444" s="12"/>
    </row>
    <row r="445" spans="10:10" x14ac:dyDescent="0.45">
      <c r="J445" s="12"/>
    </row>
    <row r="446" spans="10:10" x14ac:dyDescent="0.45">
      <c r="J446" s="12"/>
    </row>
    <row r="447" spans="10:10" x14ac:dyDescent="0.45">
      <c r="J447" s="12"/>
    </row>
    <row r="448" spans="10:10" x14ac:dyDescent="0.45">
      <c r="J448" s="12"/>
    </row>
    <row r="449" spans="10:10" x14ac:dyDescent="0.45">
      <c r="J449" s="12"/>
    </row>
    <row r="450" spans="10:10" x14ac:dyDescent="0.45">
      <c r="J450" s="12"/>
    </row>
    <row r="451" spans="10:10" x14ac:dyDescent="0.45">
      <c r="J451" s="12"/>
    </row>
    <row r="452" spans="10:10" x14ac:dyDescent="0.45">
      <c r="J452" s="12"/>
    </row>
    <row r="453" spans="10:10" x14ac:dyDescent="0.45">
      <c r="J453" s="12"/>
    </row>
    <row r="454" spans="10:10" x14ac:dyDescent="0.45">
      <c r="J454" s="12"/>
    </row>
    <row r="455" spans="10:10" x14ac:dyDescent="0.45">
      <c r="J455" s="12"/>
    </row>
    <row r="456" spans="10:10" x14ac:dyDescent="0.45">
      <c r="J456" s="12"/>
    </row>
    <row r="457" spans="10:10" x14ac:dyDescent="0.45">
      <c r="J457" s="12"/>
    </row>
    <row r="458" spans="10:10" x14ac:dyDescent="0.45">
      <c r="J458" s="12"/>
    </row>
    <row r="459" spans="10:10" x14ac:dyDescent="0.45">
      <c r="J459" s="12"/>
    </row>
    <row r="460" spans="10:10" x14ac:dyDescent="0.45">
      <c r="J460" s="12"/>
    </row>
    <row r="461" spans="10:10" x14ac:dyDescent="0.45">
      <c r="J461" s="12"/>
    </row>
    <row r="462" spans="10:10" x14ac:dyDescent="0.45">
      <c r="J462" s="12"/>
    </row>
    <row r="463" spans="10:10" x14ac:dyDescent="0.45">
      <c r="J463" s="12"/>
    </row>
    <row r="464" spans="10:10" x14ac:dyDescent="0.45">
      <c r="J464" s="12"/>
    </row>
    <row r="465" spans="10:10" x14ac:dyDescent="0.45">
      <c r="J465" s="12"/>
    </row>
    <row r="466" spans="10:10" x14ac:dyDescent="0.45">
      <c r="J466" s="12"/>
    </row>
    <row r="467" spans="10:10" x14ac:dyDescent="0.45">
      <c r="J467" s="12"/>
    </row>
    <row r="468" spans="10:10" x14ac:dyDescent="0.45">
      <c r="J468" s="12"/>
    </row>
    <row r="469" spans="10:10" x14ac:dyDescent="0.45">
      <c r="J469" s="12"/>
    </row>
    <row r="470" spans="10:10" x14ac:dyDescent="0.45">
      <c r="J470" s="12"/>
    </row>
    <row r="471" spans="10:10" x14ac:dyDescent="0.45">
      <c r="J471" s="12"/>
    </row>
    <row r="472" spans="10:10" x14ac:dyDescent="0.45">
      <c r="J472" s="12"/>
    </row>
    <row r="473" spans="10:10" x14ac:dyDescent="0.45">
      <c r="J473" s="12"/>
    </row>
    <row r="474" spans="10:10" x14ac:dyDescent="0.45">
      <c r="J474" s="12"/>
    </row>
    <row r="475" spans="10:10" x14ac:dyDescent="0.45">
      <c r="J475" s="12"/>
    </row>
    <row r="476" spans="10:10" x14ac:dyDescent="0.45">
      <c r="J476" s="12"/>
    </row>
    <row r="477" spans="10:10" x14ac:dyDescent="0.45">
      <c r="J477" s="12"/>
    </row>
    <row r="478" spans="10:10" x14ac:dyDescent="0.45">
      <c r="J478" s="12"/>
    </row>
    <row r="479" spans="10:10" x14ac:dyDescent="0.45">
      <c r="J479" s="12"/>
    </row>
    <row r="480" spans="10:10" x14ac:dyDescent="0.45">
      <c r="J480" s="12"/>
    </row>
    <row r="481" spans="10:10" x14ac:dyDescent="0.45">
      <c r="J481" s="12"/>
    </row>
    <row r="482" spans="10:10" x14ac:dyDescent="0.45">
      <c r="J482" s="12"/>
    </row>
    <row r="483" spans="10:10" x14ac:dyDescent="0.45">
      <c r="J483" s="12"/>
    </row>
    <row r="484" spans="10:10" x14ac:dyDescent="0.45">
      <c r="J484" s="12"/>
    </row>
    <row r="485" spans="10:10" x14ac:dyDescent="0.45">
      <c r="J485" s="12"/>
    </row>
    <row r="486" spans="10:10" x14ac:dyDescent="0.45">
      <c r="J486" s="12"/>
    </row>
    <row r="487" spans="10:10" x14ac:dyDescent="0.45">
      <c r="J487" s="12"/>
    </row>
    <row r="488" spans="10:10" x14ac:dyDescent="0.45">
      <c r="J488" s="12"/>
    </row>
    <row r="489" spans="10:10" x14ac:dyDescent="0.45">
      <c r="J489" s="12"/>
    </row>
    <row r="490" spans="10:10" x14ac:dyDescent="0.45">
      <c r="J490" s="12"/>
    </row>
    <row r="491" spans="10:10" x14ac:dyDescent="0.45">
      <c r="J491" s="12"/>
    </row>
    <row r="492" spans="10:10" x14ac:dyDescent="0.45">
      <c r="J492" s="12"/>
    </row>
    <row r="493" spans="10:10" x14ac:dyDescent="0.45">
      <c r="J493" s="12"/>
    </row>
    <row r="494" spans="10:10" x14ac:dyDescent="0.45">
      <c r="J494" s="12"/>
    </row>
    <row r="495" spans="10:10" x14ac:dyDescent="0.45">
      <c r="J495" s="12"/>
    </row>
    <row r="496" spans="10:10" x14ac:dyDescent="0.45">
      <c r="J496" s="12"/>
    </row>
    <row r="497" spans="10:10" x14ac:dyDescent="0.45">
      <c r="J497" s="12"/>
    </row>
    <row r="498" spans="10:10" x14ac:dyDescent="0.45">
      <c r="J498" s="12"/>
    </row>
    <row r="499" spans="10:10" x14ac:dyDescent="0.45">
      <c r="J499" s="12"/>
    </row>
    <row r="500" spans="10:10" x14ac:dyDescent="0.45">
      <c r="J500" s="12"/>
    </row>
    <row r="501" spans="10:10" x14ac:dyDescent="0.45">
      <c r="J501" s="12"/>
    </row>
    <row r="502" spans="10:10" x14ac:dyDescent="0.45">
      <c r="J502" s="12"/>
    </row>
    <row r="503" spans="10:10" x14ac:dyDescent="0.45">
      <c r="J503" s="12"/>
    </row>
    <row r="504" spans="10:10" x14ac:dyDescent="0.45">
      <c r="J504" s="12"/>
    </row>
    <row r="505" spans="10:10" x14ac:dyDescent="0.45">
      <c r="J505" s="12"/>
    </row>
    <row r="506" spans="10:10" x14ac:dyDescent="0.45">
      <c r="J506" s="12"/>
    </row>
    <row r="507" spans="10:10" x14ac:dyDescent="0.45">
      <c r="J507" s="12"/>
    </row>
    <row r="508" spans="10:10" x14ac:dyDescent="0.45">
      <c r="J508" s="12"/>
    </row>
    <row r="509" spans="10:10" x14ac:dyDescent="0.45">
      <c r="J509" s="12"/>
    </row>
    <row r="510" spans="10:10" x14ac:dyDescent="0.45">
      <c r="J510" s="12"/>
    </row>
    <row r="511" spans="10:10" x14ac:dyDescent="0.45">
      <c r="J511" s="12"/>
    </row>
    <row r="512" spans="10:10" x14ac:dyDescent="0.45">
      <c r="J512" s="12"/>
    </row>
    <row r="513" spans="10:10" x14ac:dyDescent="0.45">
      <c r="J513" s="12"/>
    </row>
    <row r="514" spans="10:10" x14ac:dyDescent="0.45">
      <c r="J514" s="12"/>
    </row>
    <row r="515" spans="10:10" x14ac:dyDescent="0.45">
      <c r="J515" s="12"/>
    </row>
    <row r="516" spans="10:10" x14ac:dyDescent="0.45">
      <c r="J516" s="12"/>
    </row>
    <row r="517" spans="10:10" x14ac:dyDescent="0.45">
      <c r="J517" s="12"/>
    </row>
    <row r="518" spans="10:10" x14ac:dyDescent="0.45">
      <c r="J518" s="12"/>
    </row>
    <row r="519" spans="10:10" x14ac:dyDescent="0.45">
      <c r="J519" s="12"/>
    </row>
    <row r="520" spans="10:10" x14ac:dyDescent="0.45">
      <c r="J520" s="12"/>
    </row>
    <row r="521" spans="10:10" x14ac:dyDescent="0.45">
      <c r="J521" s="12"/>
    </row>
    <row r="522" spans="10:10" x14ac:dyDescent="0.45">
      <c r="J522" s="12"/>
    </row>
    <row r="523" spans="10:10" x14ac:dyDescent="0.45">
      <c r="J523" s="12"/>
    </row>
    <row r="524" spans="10:10" x14ac:dyDescent="0.45">
      <c r="J524" s="12"/>
    </row>
    <row r="525" spans="10:10" x14ac:dyDescent="0.45">
      <c r="J525" s="12"/>
    </row>
    <row r="526" spans="10:10" x14ac:dyDescent="0.45">
      <c r="J526" s="12"/>
    </row>
    <row r="527" spans="10:10" x14ac:dyDescent="0.45">
      <c r="J527" s="12"/>
    </row>
    <row r="528" spans="10:10" x14ac:dyDescent="0.45">
      <c r="J528" s="12"/>
    </row>
    <row r="529" spans="10:10" x14ac:dyDescent="0.45">
      <c r="J529" s="12"/>
    </row>
    <row r="530" spans="10:10" x14ac:dyDescent="0.45">
      <c r="J530" s="12"/>
    </row>
    <row r="531" spans="10:10" x14ac:dyDescent="0.45">
      <c r="J531" s="12"/>
    </row>
    <row r="532" spans="10:10" x14ac:dyDescent="0.45">
      <c r="J532" s="12"/>
    </row>
    <row r="533" spans="10:10" x14ac:dyDescent="0.45">
      <c r="J533" s="12"/>
    </row>
    <row r="534" spans="10:10" x14ac:dyDescent="0.45">
      <c r="J534" s="12"/>
    </row>
    <row r="535" spans="10:10" x14ac:dyDescent="0.45">
      <c r="J535" s="12"/>
    </row>
    <row r="536" spans="10:10" x14ac:dyDescent="0.45">
      <c r="J536" s="12"/>
    </row>
    <row r="537" spans="10:10" x14ac:dyDescent="0.45">
      <c r="J537" s="12"/>
    </row>
    <row r="538" spans="10:10" x14ac:dyDescent="0.45">
      <c r="J538" s="12"/>
    </row>
    <row r="539" spans="10:10" x14ac:dyDescent="0.45">
      <c r="J539" s="12"/>
    </row>
    <row r="540" spans="10:10" x14ac:dyDescent="0.45">
      <c r="J540" s="12"/>
    </row>
    <row r="541" spans="10:10" x14ac:dyDescent="0.45">
      <c r="J541" s="12"/>
    </row>
    <row r="542" spans="10:10" x14ac:dyDescent="0.45">
      <c r="J542" s="12"/>
    </row>
    <row r="543" spans="10:10" x14ac:dyDescent="0.45">
      <c r="J543" s="12"/>
    </row>
    <row r="544" spans="10:10" x14ac:dyDescent="0.45">
      <c r="J544" s="12"/>
    </row>
    <row r="545" spans="10:10" x14ac:dyDescent="0.45">
      <c r="J545" s="12"/>
    </row>
    <row r="546" spans="10:10" x14ac:dyDescent="0.45">
      <c r="J546" s="12"/>
    </row>
    <row r="547" spans="10:10" x14ac:dyDescent="0.45">
      <c r="J547" s="12"/>
    </row>
    <row r="548" spans="10:10" x14ac:dyDescent="0.45">
      <c r="J548" s="12"/>
    </row>
    <row r="549" spans="10:10" x14ac:dyDescent="0.45">
      <c r="J549" s="12"/>
    </row>
    <row r="550" spans="10:10" x14ac:dyDescent="0.45">
      <c r="J550" s="12"/>
    </row>
    <row r="551" spans="10:10" x14ac:dyDescent="0.45">
      <c r="J551" s="12"/>
    </row>
    <row r="552" spans="10:10" x14ac:dyDescent="0.45">
      <c r="J552" s="12"/>
    </row>
    <row r="553" spans="10:10" x14ac:dyDescent="0.45">
      <c r="J553" s="12"/>
    </row>
    <row r="554" spans="10:10" x14ac:dyDescent="0.45">
      <c r="J554" s="12"/>
    </row>
    <row r="555" spans="10:10" x14ac:dyDescent="0.45">
      <c r="J555" s="12"/>
    </row>
    <row r="556" spans="10:10" x14ac:dyDescent="0.45">
      <c r="J556" s="12"/>
    </row>
    <row r="557" spans="10:10" x14ac:dyDescent="0.45">
      <c r="J557" s="12"/>
    </row>
    <row r="558" spans="10:10" x14ac:dyDescent="0.45">
      <c r="J558" s="12"/>
    </row>
    <row r="559" spans="10:10" x14ac:dyDescent="0.45">
      <c r="J559" s="12"/>
    </row>
    <row r="560" spans="10:10" x14ac:dyDescent="0.45">
      <c r="J560" s="12"/>
    </row>
    <row r="561" spans="10:10" x14ac:dyDescent="0.45">
      <c r="J561" s="12"/>
    </row>
    <row r="562" spans="10:10" x14ac:dyDescent="0.45">
      <c r="J562" s="12"/>
    </row>
    <row r="563" spans="10:10" x14ac:dyDescent="0.45">
      <c r="J563" s="12"/>
    </row>
    <row r="564" spans="10:10" x14ac:dyDescent="0.45">
      <c r="J564" s="12"/>
    </row>
    <row r="565" spans="10:10" x14ac:dyDescent="0.45">
      <c r="J565" s="12"/>
    </row>
    <row r="566" spans="10:10" x14ac:dyDescent="0.45">
      <c r="J566" s="12"/>
    </row>
    <row r="567" spans="10:10" x14ac:dyDescent="0.45">
      <c r="J567" s="12"/>
    </row>
    <row r="568" spans="10:10" x14ac:dyDescent="0.45">
      <c r="J568" s="12"/>
    </row>
    <row r="569" spans="10:10" x14ac:dyDescent="0.45">
      <c r="J569" s="12"/>
    </row>
    <row r="570" spans="10:10" x14ac:dyDescent="0.45">
      <c r="J570" s="12"/>
    </row>
    <row r="571" spans="10:10" x14ac:dyDescent="0.45">
      <c r="J571" s="12"/>
    </row>
    <row r="572" spans="10:10" x14ac:dyDescent="0.45">
      <c r="J572" s="12"/>
    </row>
    <row r="573" spans="10:10" x14ac:dyDescent="0.45">
      <c r="J573" s="12"/>
    </row>
    <row r="574" spans="10:10" x14ac:dyDescent="0.45">
      <c r="J574" s="12"/>
    </row>
    <row r="575" spans="10:10" x14ac:dyDescent="0.45">
      <c r="J575" s="12"/>
    </row>
    <row r="576" spans="10:10" x14ac:dyDescent="0.45">
      <c r="J576" s="12"/>
    </row>
    <row r="577" spans="10:10" x14ac:dyDescent="0.45">
      <c r="J577" s="12"/>
    </row>
    <row r="578" spans="10:10" x14ac:dyDescent="0.45">
      <c r="J578" s="12"/>
    </row>
    <row r="579" spans="10:10" x14ac:dyDescent="0.45">
      <c r="J579" s="12"/>
    </row>
    <row r="580" spans="10:10" x14ac:dyDescent="0.45">
      <c r="J580" s="12"/>
    </row>
    <row r="581" spans="10:10" x14ac:dyDescent="0.45">
      <c r="J581" s="12"/>
    </row>
    <row r="582" spans="10:10" x14ac:dyDescent="0.45">
      <c r="J582" s="12"/>
    </row>
    <row r="583" spans="10:10" x14ac:dyDescent="0.45">
      <c r="J583" s="12"/>
    </row>
    <row r="584" spans="10:10" x14ac:dyDescent="0.45">
      <c r="J584" s="12"/>
    </row>
    <row r="585" spans="10:10" x14ac:dyDescent="0.45">
      <c r="J585" s="12"/>
    </row>
    <row r="586" spans="10:10" x14ac:dyDescent="0.45">
      <c r="J586" s="12"/>
    </row>
    <row r="587" spans="10:10" x14ac:dyDescent="0.45">
      <c r="J587" s="12"/>
    </row>
    <row r="588" spans="10:10" x14ac:dyDescent="0.45">
      <c r="J588" s="12"/>
    </row>
    <row r="589" spans="10:10" x14ac:dyDescent="0.45">
      <c r="J589" s="12"/>
    </row>
    <row r="590" spans="10:10" x14ac:dyDescent="0.45">
      <c r="J590" s="12"/>
    </row>
    <row r="591" spans="10:10" x14ac:dyDescent="0.45">
      <c r="J591" s="12"/>
    </row>
    <row r="592" spans="10:10" x14ac:dyDescent="0.45">
      <c r="J592" s="12"/>
    </row>
    <row r="593" spans="10:10" x14ac:dyDescent="0.45">
      <c r="J593" s="12"/>
    </row>
    <row r="594" spans="10:10" x14ac:dyDescent="0.45">
      <c r="J594" s="12"/>
    </row>
    <row r="595" spans="10:10" x14ac:dyDescent="0.45">
      <c r="J595" s="12"/>
    </row>
    <row r="596" spans="10:10" x14ac:dyDescent="0.45">
      <c r="J596" s="12"/>
    </row>
    <row r="597" spans="10:10" x14ac:dyDescent="0.45">
      <c r="J597" s="12"/>
    </row>
    <row r="598" spans="10:10" x14ac:dyDescent="0.45">
      <c r="J598" s="12"/>
    </row>
    <row r="599" spans="10:10" x14ac:dyDescent="0.45">
      <c r="J599" s="12"/>
    </row>
    <row r="600" spans="10:10" x14ac:dyDescent="0.45">
      <c r="J600" s="12"/>
    </row>
    <row r="601" spans="10:10" x14ac:dyDescent="0.45">
      <c r="J601" s="12"/>
    </row>
    <row r="602" spans="10:10" x14ac:dyDescent="0.45">
      <c r="J602" s="12"/>
    </row>
    <row r="603" spans="10:10" x14ac:dyDescent="0.45">
      <c r="J603" s="12"/>
    </row>
    <row r="604" spans="10:10" x14ac:dyDescent="0.45">
      <c r="J604" s="12"/>
    </row>
    <row r="605" spans="10:10" x14ac:dyDescent="0.45">
      <c r="J605" s="12"/>
    </row>
    <row r="606" spans="10:10" x14ac:dyDescent="0.45">
      <c r="J606" s="12"/>
    </row>
    <row r="607" spans="10:10" x14ac:dyDescent="0.45">
      <c r="J607" s="12"/>
    </row>
    <row r="608" spans="10:10" x14ac:dyDescent="0.45">
      <c r="J608" s="12"/>
    </row>
    <row r="609" spans="10:10" x14ac:dyDescent="0.45">
      <c r="J609" s="12"/>
    </row>
    <row r="610" spans="10:10" x14ac:dyDescent="0.45">
      <c r="J610" s="12"/>
    </row>
    <row r="611" spans="10:10" x14ac:dyDescent="0.45">
      <c r="J611" s="12"/>
    </row>
    <row r="612" spans="10:10" x14ac:dyDescent="0.45">
      <c r="J612" s="12"/>
    </row>
    <row r="613" spans="10:10" x14ac:dyDescent="0.45">
      <c r="J613" s="12"/>
    </row>
    <row r="614" spans="10:10" x14ac:dyDescent="0.45">
      <c r="J614" s="12"/>
    </row>
    <row r="615" spans="10:10" x14ac:dyDescent="0.45">
      <c r="J615" s="12"/>
    </row>
    <row r="616" spans="10:10" x14ac:dyDescent="0.45">
      <c r="J616" s="12"/>
    </row>
    <row r="617" spans="10:10" x14ac:dyDescent="0.45">
      <c r="J617" s="12"/>
    </row>
    <row r="618" spans="10:10" x14ac:dyDescent="0.45">
      <c r="J618" s="12"/>
    </row>
    <row r="619" spans="10:10" x14ac:dyDescent="0.45">
      <c r="J619" s="12"/>
    </row>
    <row r="620" spans="10:10" x14ac:dyDescent="0.45">
      <c r="J620" s="12"/>
    </row>
    <row r="621" spans="10:10" x14ac:dyDescent="0.45">
      <c r="J621" s="12"/>
    </row>
    <row r="622" spans="10:10" x14ac:dyDescent="0.45">
      <c r="J622" s="12"/>
    </row>
    <row r="623" spans="10:10" x14ac:dyDescent="0.45">
      <c r="J623" s="12"/>
    </row>
    <row r="624" spans="10:10" x14ac:dyDescent="0.45">
      <c r="J624" s="12"/>
    </row>
    <row r="625" spans="10:10" x14ac:dyDescent="0.45">
      <c r="J625" s="12"/>
    </row>
    <row r="626" spans="10:10" x14ac:dyDescent="0.45">
      <c r="J626" s="12"/>
    </row>
    <row r="627" spans="10:10" x14ac:dyDescent="0.45">
      <c r="J627" s="12"/>
    </row>
    <row r="628" spans="10:10" x14ac:dyDescent="0.45">
      <c r="J628" s="12"/>
    </row>
    <row r="629" spans="10:10" x14ac:dyDescent="0.45">
      <c r="J629" s="12"/>
    </row>
    <row r="630" spans="10:10" x14ac:dyDescent="0.45">
      <c r="J630" s="12"/>
    </row>
    <row r="631" spans="10:10" x14ac:dyDescent="0.45">
      <c r="J631" s="12"/>
    </row>
    <row r="632" spans="10:10" x14ac:dyDescent="0.45">
      <c r="J632" s="12"/>
    </row>
    <row r="633" spans="10:10" x14ac:dyDescent="0.45">
      <c r="J633" s="12"/>
    </row>
    <row r="634" spans="10:10" x14ac:dyDescent="0.45">
      <c r="J634" s="12"/>
    </row>
    <row r="635" spans="10:10" x14ac:dyDescent="0.45">
      <c r="J635" s="12"/>
    </row>
    <row r="636" spans="10:10" x14ac:dyDescent="0.45">
      <c r="J636" s="12"/>
    </row>
    <row r="637" spans="10:10" x14ac:dyDescent="0.45">
      <c r="J637" s="12"/>
    </row>
    <row r="638" spans="10:10" x14ac:dyDescent="0.45">
      <c r="J638" s="12"/>
    </row>
    <row r="639" spans="10:10" x14ac:dyDescent="0.45">
      <c r="J639" s="12"/>
    </row>
    <row r="640" spans="10:10" x14ac:dyDescent="0.45">
      <c r="J640" s="12"/>
    </row>
    <row r="641" spans="10:10" x14ac:dyDescent="0.45">
      <c r="J641" s="12"/>
    </row>
    <row r="642" spans="10:10" x14ac:dyDescent="0.45">
      <c r="J642" s="12"/>
    </row>
    <row r="643" spans="10:10" x14ac:dyDescent="0.45">
      <c r="J643" s="12"/>
    </row>
    <row r="644" spans="10:10" x14ac:dyDescent="0.45">
      <c r="J644" s="12"/>
    </row>
    <row r="645" spans="10:10" x14ac:dyDescent="0.45">
      <c r="J645" s="12"/>
    </row>
    <row r="646" spans="10:10" x14ac:dyDescent="0.45">
      <c r="J646" s="12"/>
    </row>
    <row r="647" spans="10:10" x14ac:dyDescent="0.45">
      <c r="J647" s="12"/>
    </row>
    <row r="648" spans="10:10" x14ac:dyDescent="0.45">
      <c r="J648" s="12"/>
    </row>
    <row r="649" spans="10:10" x14ac:dyDescent="0.45">
      <c r="J649" s="12"/>
    </row>
    <row r="650" spans="10:10" x14ac:dyDescent="0.45">
      <c r="J650" s="12"/>
    </row>
    <row r="651" spans="10:10" x14ac:dyDescent="0.45">
      <c r="J651" s="12"/>
    </row>
    <row r="652" spans="10:10" x14ac:dyDescent="0.45">
      <c r="J652" s="12"/>
    </row>
    <row r="653" spans="10:10" x14ac:dyDescent="0.45">
      <c r="J653" s="12"/>
    </row>
    <row r="654" spans="10:10" x14ac:dyDescent="0.45">
      <c r="J654" s="12"/>
    </row>
    <row r="655" spans="10:10" x14ac:dyDescent="0.45">
      <c r="J655" s="12"/>
    </row>
    <row r="656" spans="10:10" x14ac:dyDescent="0.45">
      <c r="J656" s="12"/>
    </row>
    <row r="657" spans="10:10" x14ac:dyDescent="0.45">
      <c r="J657" s="12"/>
    </row>
    <row r="658" spans="10:10" x14ac:dyDescent="0.45">
      <c r="J658" s="12"/>
    </row>
    <row r="659" spans="10:10" x14ac:dyDescent="0.45">
      <c r="J659" s="12"/>
    </row>
    <row r="660" spans="10:10" x14ac:dyDescent="0.45">
      <c r="J660" s="12"/>
    </row>
    <row r="661" spans="10:10" x14ac:dyDescent="0.45">
      <c r="J661" s="12"/>
    </row>
    <row r="662" spans="10:10" x14ac:dyDescent="0.45">
      <c r="J662" s="12"/>
    </row>
    <row r="663" spans="10:10" x14ac:dyDescent="0.45">
      <c r="J663" s="12"/>
    </row>
    <row r="664" spans="10:10" x14ac:dyDescent="0.45">
      <c r="J664" s="12"/>
    </row>
    <row r="665" spans="10:10" x14ac:dyDescent="0.45">
      <c r="J665" s="12"/>
    </row>
    <row r="666" spans="10:10" x14ac:dyDescent="0.45">
      <c r="J666" s="12"/>
    </row>
    <row r="667" spans="10:10" x14ac:dyDescent="0.45">
      <c r="J667" s="12"/>
    </row>
    <row r="668" spans="10:10" x14ac:dyDescent="0.45">
      <c r="J668" s="12"/>
    </row>
    <row r="669" spans="10:10" x14ac:dyDescent="0.45">
      <c r="J669" s="12"/>
    </row>
    <row r="670" spans="10:10" x14ac:dyDescent="0.45">
      <c r="J670" s="12"/>
    </row>
    <row r="671" spans="10:10" x14ac:dyDescent="0.45">
      <c r="J671" s="12"/>
    </row>
    <row r="672" spans="10:10" x14ac:dyDescent="0.45">
      <c r="J672" s="12"/>
    </row>
    <row r="673" spans="10:10" x14ac:dyDescent="0.45">
      <c r="J673" s="12"/>
    </row>
    <row r="674" spans="10:10" x14ac:dyDescent="0.45">
      <c r="J674" s="12"/>
    </row>
    <row r="675" spans="10:10" x14ac:dyDescent="0.45">
      <c r="J675" s="12"/>
    </row>
    <row r="676" spans="10:10" x14ac:dyDescent="0.45">
      <c r="J676" s="12"/>
    </row>
    <row r="677" spans="10:10" x14ac:dyDescent="0.45">
      <c r="J677" s="12"/>
    </row>
    <row r="678" spans="10:10" x14ac:dyDescent="0.45">
      <c r="J678" s="12"/>
    </row>
    <row r="679" spans="10:10" x14ac:dyDescent="0.45">
      <c r="J679" s="12"/>
    </row>
    <row r="680" spans="10:10" x14ac:dyDescent="0.45">
      <c r="J680" s="12"/>
    </row>
    <row r="681" spans="10:10" x14ac:dyDescent="0.45">
      <c r="J681" s="12"/>
    </row>
    <row r="682" spans="10:10" x14ac:dyDescent="0.45">
      <c r="J682" s="12"/>
    </row>
    <row r="683" spans="10:10" x14ac:dyDescent="0.45">
      <c r="J683" s="12"/>
    </row>
    <row r="684" spans="10:10" x14ac:dyDescent="0.45">
      <c r="J684" s="12"/>
    </row>
    <row r="685" spans="10:10" x14ac:dyDescent="0.45">
      <c r="J685" s="12"/>
    </row>
    <row r="686" spans="10:10" x14ac:dyDescent="0.45">
      <c r="J686" s="12"/>
    </row>
    <row r="687" spans="10:10" x14ac:dyDescent="0.45">
      <c r="J687" s="12"/>
    </row>
    <row r="688" spans="10:10" x14ac:dyDescent="0.45">
      <c r="J688" s="12"/>
    </row>
    <row r="689" spans="10:10" x14ac:dyDescent="0.45">
      <c r="J689" s="12"/>
    </row>
    <row r="690" spans="10:10" x14ac:dyDescent="0.45">
      <c r="J690" s="12"/>
    </row>
    <row r="691" spans="10:10" x14ac:dyDescent="0.45">
      <c r="J691" s="12"/>
    </row>
    <row r="692" spans="10:10" x14ac:dyDescent="0.45">
      <c r="J692" s="12"/>
    </row>
    <row r="693" spans="10:10" x14ac:dyDescent="0.45">
      <c r="J693" s="12"/>
    </row>
    <row r="694" spans="10:10" x14ac:dyDescent="0.45">
      <c r="J694" s="12"/>
    </row>
    <row r="695" spans="10:10" x14ac:dyDescent="0.45">
      <c r="J695" s="12"/>
    </row>
    <row r="696" spans="10:10" x14ac:dyDescent="0.45">
      <c r="J696" s="12"/>
    </row>
    <row r="697" spans="10:10" x14ac:dyDescent="0.45">
      <c r="J697" s="12"/>
    </row>
    <row r="698" spans="10:10" x14ac:dyDescent="0.45">
      <c r="J698" s="12"/>
    </row>
    <row r="699" spans="10:10" x14ac:dyDescent="0.45">
      <c r="J699" s="12"/>
    </row>
    <row r="700" spans="10:10" x14ac:dyDescent="0.45">
      <c r="J700" s="12"/>
    </row>
    <row r="701" spans="10:10" x14ac:dyDescent="0.45">
      <c r="J701" s="12"/>
    </row>
    <row r="702" spans="10:10" x14ac:dyDescent="0.45">
      <c r="J702" s="12"/>
    </row>
    <row r="703" spans="10:10" x14ac:dyDescent="0.45">
      <c r="J703" s="12"/>
    </row>
    <row r="704" spans="10:10" x14ac:dyDescent="0.45">
      <c r="J704" s="12"/>
    </row>
    <row r="705" spans="10:10" x14ac:dyDescent="0.45">
      <c r="J705" s="12"/>
    </row>
    <row r="706" spans="10:10" x14ac:dyDescent="0.45">
      <c r="J706" s="12"/>
    </row>
    <row r="707" spans="10:10" x14ac:dyDescent="0.45">
      <c r="J707" s="12"/>
    </row>
    <row r="708" spans="10:10" x14ac:dyDescent="0.45">
      <c r="J708" s="12"/>
    </row>
    <row r="709" spans="10:10" x14ac:dyDescent="0.45">
      <c r="J709" s="12"/>
    </row>
    <row r="710" spans="10:10" x14ac:dyDescent="0.45">
      <c r="J710" s="12"/>
    </row>
    <row r="711" spans="10:10" x14ac:dyDescent="0.45">
      <c r="J711" s="12"/>
    </row>
    <row r="712" spans="10:10" x14ac:dyDescent="0.45">
      <c r="J712" s="12"/>
    </row>
    <row r="713" spans="10:10" x14ac:dyDescent="0.45">
      <c r="J713" s="12"/>
    </row>
    <row r="714" spans="10:10" x14ac:dyDescent="0.45">
      <c r="J714" s="12"/>
    </row>
    <row r="715" spans="10:10" x14ac:dyDescent="0.45">
      <c r="J715" s="12"/>
    </row>
    <row r="716" spans="10:10" x14ac:dyDescent="0.45">
      <c r="J716" s="12"/>
    </row>
    <row r="717" spans="10:10" x14ac:dyDescent="0.45">
      <c r="J717" s="12"/>
    </row>
    <row r="718" spans="10:10" x14ac:dyDescent="0.45">
      <c r="J718" s="12"/>
    </row>
    <row r="719" spans="10:10" x14ac:dyDescent="0.45">
      <c r="J719" s="12"/>
    </row>
    <row r="720" spans="10:10" x14ac:dyDescent="0.45">
      <c r="J720" s="12"/>
    </row>
    <row r="721" spans="10:10" x14ac:dyDescent="0.45">
      <c r="J721" s="12"/>
    </row>
    <row r="722" spans="10:10" x14ac:dyDescent="0.45">
      <c r="J722" s="12"/>
    </row>
    <row r="723" spans="10:10" x14ac:dyDescent="0.45">
      <c r="J723" s="12"/>
    </row>
    <row r="724" spans="10:10" x14ac:dyDescent="0.45">
      <c r="J724" s="12"/>
    </row>
    <row r="725" spans="10:10" x14ac:dyDescent="0.45">
      <c r="J725" s="12"/>
    </row>
    <row r="726" spans="10:10" x14ac:dyDescent="0.45">
      <c r="J726" s="12"/>
    </row>
    <row r="727" spans="10:10" x14ac:dyDescent="0.45">
      <c r="J727" s="12"/>
    </row>
    <row r="728" spans="10:10" x14ac:dyDescent="0.45">
      <c r="J728" s="12"/>
    </row>
    <row r="729" spans="10:10" x14ac:dyDescent="0.45">
      <c r="J729" s="12"/>
    </row>
    <row r="730" spans="10:10" x14ac:dyDescent="0.45">
      <c r="J730" s="12"/>
    </row>
    <row r="731" spans="10:10" x14ac:dyDescent="0.45">
      <c r="J731" s="12"/>
    </row>
    <row r="732" spans="10:10" x14ac:dyDescent="0.45">
      <c r="J732" s="12"/>
    </row>
    <row r="733" spans="10:10" x14ac:dyDescent="0.45">
      <c r="J733" s="12"/>
    </row>
    <row r="734" spans="10:10" x14ac:dyDescent="0.45">
      <c r="J734" s="12"/>
    </row>
    <row r="735" spans="10:10" x14ac:dyDescent="0.45">
      <c r="J735" s="12"/>
    </row>
    <row r="736" spans="10:10" x14ac:dyDescent="0.45">
      <c r="J736" s="12"/>
    </row>
    <row r="737" spans="10:10" x14ac:dyDescent="0.45">
      <c r="J737" s="12"/>
    </row>
    <row r="738" spans="10:10" x14ac:dyDescent="0.45">
      <c r="J738" s="12"/>
    </row>
    <row r="739" spans="10:10" x14ac:dyDescent="0.45">
      <c r="J739" s="12"/>
    </row>
    <row r="740" spans="10:10" x14ac:dyDescent="0.45">
      <c r="J740" s="12"/>
    </row>
    <row r="741" spans="10:10" x14ac:dyDescent="0.45">
      <c r="J741" s="12"/>
    </row>
    <row r="742" spans="10:10" x14ac:dyDescent="0.45">
      <c r="J742" s="12"/>
    </row>
    <row r="743" spans="10:10" x14ac:dyDescent="0.45">
      <c r="J743" s="12"/>
    </row>
    <row r="744" spans="10:10" x14ac:dyDescent="0.45">
      <c r="J744" s="12"/>
    </row>
    <row r="745" spans="10:10" x14ac:dyDescent="0.45">
      <c r="J745" s="12"/>
    </row>
    <row r="746" spans="10:10" x14ac:dyDescent="0.45">
      <c r="J746" s="12"/>
    </row>
    <row r="747" spans="10:10" x14ac:dyDescent="0.45">
      <c r="J747" s="12"/>
    </row>
    <row r="748" spans="10:10" x14ac:dyDescent="0.45">
      <c r="J748" s="12"/>
    </row>
    <row r="749" spans="10:10" x14ac:dyDescent="0.45">
      <c r="J749" s="12"/>
    </row>
    <row r="750" spans="10:10" x14ac:dyDescent="0.45">
      <c r="J750" s="12"/>
    </row>
    <row r="751" spans="10:10" x14ac:dyDescent="0.45">
      <c r="J751" s="12"/>
    </row>
    <row r="752" spans="10:10" x14ac:dyDescent="0.45">
      <c r="J752" s="12"/>
    </row>
    <row r="753" spans="10:10" x14ac:dyDescent="0.45">
      <c r="J753" s="12"/>
    </row>
    <row r="754" spans="10:10" x14ac:dyDescent="0.45">
      <c r="J754" s="12"/>
    </row>
    <row r="755" spans="10:10" x14ac:dyDescent="0.45">
      <c r="J755" s="12"/>
    </row>
    <row r="756" spans="10:10" x14ac:dyDescent="0.45">
      <c r="J756" s="12"/>
    </row>
    <row r="757" spans="10:10" x14ac:dyDescent="0.45">
      <c r="J757" s="12"/>
    </row>
    <row r="758" spans="10:10" x14ac:dyDescent="0.45">
      <c r="J758" s="12"/>
    </row>
    <row r="759" spans="10:10" x14ac:dyDescent="0.45">
      <c r="J759" s="12"/>
    </row>
    <row r="760" spans="10:10" x14ac:dyDescent="0.45">
      <c r="J760" s="12"/>
    </row>
    <row r="761" spans="10:10" x14ac:dyDescent="0.45">
      <c r="J761" s="12"/>
    </row>
    <row r="762" spans="10:10" x14ac:dyDescent="0.45">
      <c r="J762" s="12"/>
    </row>
    <row r="763" spans="10:10" x14ac:dyDescent="0.45">
      <c r="J763" s="12"/>
    </row>
    <row r="764" spans="10:10" x14ac:dyDescent="0.45">
      <c r="J764" s="12"/>
    </row>
    <row r="765" spans="10:10" x14ac:dyDescent="0.45">
      <c r="J765" s="12"/>
    </row>
    <row r="766" spans="10:10" x14ac:dyDescent="0.45">
      <c r="J766" s="12"/>
    </row>
    <row r="767" spans="10:10" x14ac:dyDescent="0.45">
      <c r="J767" s="12"/>
    </row>
    <row r="768" spans="10:10" x14ac:dyDescent="0.45">
      <c r="J768" s="12"/>
    </row>
    <row r="769" spans="10:10" x14ac:dyDescent="0.45">
      <c r="J769" s="12"/>
    </row>
    <row r="770" spans="10:10" x14ac:dyDescent="0.45">
      <c r="J770" s="12"/>
    </row>
    <row r="771" spans="10:10" x14ac:dyDescent="0.45">
      <c r="J771" s="12"/>
    </row>
    <row r="772" spans="10:10" x14ac:dyDescent="0.45">
      <c r="J772" s="12"/>
    </row>
    <row r="773" spans="10:10" x14ac:dyDescent="0.45">
      <c r="J773" s="12"/>
    </row>
    <row r="774" spans="10:10" x14ac:dyDescent="0.45">
      <c r="J774" s="12"/>
    </row>
    <row r="775" spans="10:10" x14ac:dyDescent="0.45">
      <c r="J775" s="12"/>
    </row>
    <row r="776" spans="10:10" x14ac:dyDescent="0.45">
      <c r="J776" s="12"/>
    </row>
    <row r="777" spans="10:10" x14ac:dyDescent="0.45">
      <c r="J777" s="12"/>
    </row>
    <row r="778" spans="10:10" x14ac:dyDescent="0.45">
      <c r="J778" s="12"/>
    </row>
    <row r="779" spans="10:10" x14ac:dyDescent="0.45">
      <c r="J779" s="12"/>
    </row>
    <row r="780" spans="10:10" x14ac:dyDescent="0.45">
      <c r="J780" s="12"/>
    </row>
    <row r="781" spans="10:10" x14ac:dyDescent="0.45">
      <c r="J781" s="12"/>
    </row>
    <row r="782" spans="10:10" x14ac:dyDescent="0.45">
      <c r="J782" s="12"/>
    </row>
    <row r="783" spans="10:10" x14ac:dyDescent="0.45">
      <c r="J783" s="12"/>
    </row>
    <row r="784" spans="10:10" x14ac:dyDescent="0.45">
      <c r="J784" s="12"/>
    </row>
    <row r="785" spans="10:10" x14ac:dyDescent="0.45">
      <c r="J785" s="12"/>
    </row>
    <row r="786" spans="10:10" x14ac:dyDescent="0.45">
      <c r="J786" s="12"/>
    </row>
    <row r="787" spans="10:10" x14ac:dyDescent="0.45">
      <c r="J787" s="12"/>
    </row>
    <row r="788" spans="10:10" x14ac:dyDescent="0.45">
      <c r="J788" s="12"/>
    </row>
    <row r="789" spans="10:10" x14ac:dyDescent="0.45">
      <c r="J789" s="12"/>
    </row>
    <row r="790" spans="10:10" x14ac:dyDescent="0.45">
      <c r="J790" s="12"/>
    </row>
    <row r="791" spans="10:10" x14ac:dyDescent="0.45">
      <c r="J791" s="12"/>
    </row>
    <row r="792" spans="10:10" x14ac:dyDescent="0.45">
      <c r="J792" s="12"/>
    </row>
    <row r="793" spans="10:10" x14ac:dyDescent="0.45">
      <c r="J793" s="12"/>
    </row>
    <row r="794" spans="10:10" x14ac:dyDescent="0.45">
      <c r="J794" s="12"/>
    </row>
    <row r="795" spans="10:10" x14ac:dyDescent="0.45">
      <c r="J795" s="12"/>
    </row>
    <row r="796" spans="10:10" x14ac:dyDescent="0.45">
      <c r="J796" s="12"/>
    </row>
    <row r="797" spans="10:10" x14ac:dyDescent="0.45">
      <c r="J797" s="12"/>
    </row>
    <row r="798" spans="10:10" x14ac:dyDescent="0.45">
      <c r="J798" s="12"/>
    </row>
    <row r="799" spans="10:10" x14ac:dyDescent="0.45">
      <c r="J799" s="12"/>
    </row>
    <row r="800" spans="10:10" x14ac:dyDescent="0.45">
      <c r="J800" s="12"/>
    </row>
    <row r="801" spans="10:10" x14ac:dyDescent="0.45">
      <c r="J801" s="12"/>
    </row>
    <row r="802" spans="10:10" x14ac:dyDescent="0.45">
      <c r="J802" s="12"/>
    </row>
    <row r="803" spans="10:10" x14ac:dyDescent="0.45">
      <c r="J803" s="12"/>
    </row>
    <row r="804" spans="10:10" x14ac:dyDescent="0.45">
      <c r="J804" s="12"/>
    </row>
    <row r="805" spans="10:10" x14ac:dyDescent="0.45">
      <c r="J805" s="12"/>
    </row>
    <row r="806" spans="10:10" x14ac:dyDescent="0.45">
      <c r="J806" s="12"/>
    </row>
    <row r="807" spans="10:10" x14ac:dyDescent="0.45">
      <c r="J807" s="12"/>
    </row>
    <row r="808" spans="10:10" x14ac:dyDescent="0.45">
      <c r="J808" s="12"/>
    </row>
    <row r="809" spans="10:10" x14ac:dyDescent="0.45">
      <c r="J809" s="12"/>
    </row>
    <row r="810" spans="10:10" x14ac:dyDescent="0.45">
      <c r="J810" s="12"/>
    </row>
    <row r="811" spans="10:10" x14ac:dyDescent="0.45">
      <c r="J811" s="12"/>
    </row>
    <row r="812" spans="10:10" x14ac:dyDescent="0.45">
      <c r="J812" s="12"/>
    </row>
    <row r="813" spans="10:10" x14ac:dyDescent="0.45">
      <c r="J813" s="12"/>
    </row>
    <row r="814" spans="10:10" x14ac:dyDescent="0.45">
      <c r="J814" s="12"/>
    </row>
    <row r="815" spans="10:10" x14ac:dyDescent="0.45">
      <c r="J815" s="12"/>
    </row>
    <row r="816" spans="10:10" x14ac:dyDescent="0.45">
      <c r="J816" s="12"/>
    </row>
    <row r="817" spans="10:10" x14ac:dyDescent="0.45">
      <c r="J817" s="12"/>
    </row>
    <row r="818" spans="10:10" x14ac:dyDescent="0.45">
      <c r="J818" s="12"/>
    </row>
    <row r="819" spans="10:10" x14ac:dyDescent="0.45">
      <c r="J819" s="12"/>
    </row>
    <row r="820" spans="10:10" x14ac:dyDescent="0.45">
      <c r="J820" s="12"/>
    </row>
    <row r="821" spans="10:10" x14ac:dyDescent="0.45">
      <c r="J821" s="12"/>
    </row>
    <row r="822" spans="10:10" x14ac:dyDescent="0.45">
      <c r="J822" s="12"/>
    </row>
    <row r="823" spans="10:10" x14ac:dyDescent="0.45">
      <c r="J823" s="12"/>
    </row>
    <row r="824" spans="10:10" x14ac:dyDescent="0.45">
      <c r="J824" s="12"/>
    </row>
    <row r="825" spans="10:10" x14ac:dyDescent="0.45">
      <c r="J825" s="12"/>
    </row>
    <row r="826" spans="10:10" x14ac:dyDescent="0.45">
      <c r="J826" s="12"/>
    </row>
    <row r="827" spans="10:10" x14ac:dyDescent="0.45">
      <c r="J827" s="12"/>
    </row>
    <row r="828" spans="10:10" x14ac:dyDescent="0.45">
      <c r="J828" s="12"/>
    </row>
    <row r="829" spans="10:10" x14ac:dyDescent="0.45">
      <c r="J829" s="12"/>
    </row>
    <row r="830" spans="10:10" x14ac:dyDescent="0.45">
      <c r="J830" s="12"/>
    </row>
    <row r="831" spans="10:10" x14ac:dyDescent="0.45">
      <c r="J831" s="12"/>
    </row>
    <row r="832" spans="10:10" x14ac:dyDescent="0.45">
      <c r="J832" s="12"/>
    </row>
    <row r="833" spans="10:10" x14ac:dyDescent="0.45">
      <c r="J833" s="12"/>
    </row>
    <row r="834" spans="10:10" x14ac:dyDescent="0.45">
      <c r="J834" s="12"/>
    </row>
    <row r="835" spans="10:10" x14ac:dyDescent="0.45">
      <c r="J835" s="12"/>
    </row>
    <row r="836" spans="10:10" x14ac:dyDescent="0.45">
      <c r="J836" s="12"/>
    </row>
    <row r="837" spans="10:10" x14ac:dyDescent="0.45">
      <c r="J837" s="12"/>
    </row>
    <row r="838" spans="10:10" x14ac:dyDescent="0.45">
      <c r="J838" s="12"/>
    </row>
    <row r="839" spans="10:10" x14ac:dyDescent="0.45">
      <c r="J839" s="12"/>
    </row>
    <row r="840" spans="10:10" x14ac:dyDescent="0.45">
      <c r="J840" s="12"/>
    </row>
    <row r="841" spans="10:10" x14ac:dyDescent="0.45">
      <c r="J841" s="12"/>
    </row>
    <row r="842" spans="10:10" x14ac:dyDescent="0.45">
      <c r="J842" s="12"/>
    </row>
    <row r="843" spans="10:10" x14ac:dyDescent="0.45">
      <c r="J843" s="12"/>
    </row>
    <row r="844" spans="10:10" x14ac:dyDescent="0.45">
      <c r="J844" s="12"/>
    </row>
    <row r="845" spans="10:10" x14ac:dyDescent="0.45">
      <c r="J845" s="12"/>
    </row>
    <row r="846" spans="10:10" x14ac:dyDescent="0.45">
      <c r="J846" s="12"/>
    </row>
    <row r="847" spans="10:10" x14ac:dyDescent="0.45">
      <c r="J847" s="12"/>
    </row>
    <row r="848" spans="10:10" x14ac:dyDescent="0.45">
      <c r="J848" s="12"/>
    </row>
    <row r="849" spans="10:10" x14ac:dyDescent="0.45">
      <c r="J849" s="12"/>
    </row>
    <row r="850" spans="10:10" x14ac:dyDescent="0.45">
      <c r="J850" s="12"/>
    </row>
    <row r="851" spans="10:10" x14ac:dyDescent="0.45">
      <c r="J851" s="12"/>
    </row>
    <row r="852" spans="10:10" x14ac:dyDescent="0.45">
      <c r="J852" s="12"/>
    </row>
    <row r="853" spans="10:10" x14ac:dyDescent="0.45">
      <c r="J853" s="12"/>
    </row>
    <row r="854" spans="10:10" x14ac:dyDescent="0.45">
      <c r="J854" s="12"/>
    </row>
    <row r="855" spans="10:10" x14ac:dyDescent="0.45">
      <c r="J855" s="12"/>
    </row>
    <row r="856" spans="10:10" x14ac:dyDescent="0.45">
      <c r="J856" s="12"/>
    </row>
    <row r="857" spans="10:10" x14ac:dyDescent="0.45">
      <c r="J857" s="12"/>
    </row>
    <row r="858" spans="10:10" x14ac:dyDescent="0.45">
      <c r="J858" s="12"/>
    </row>
    <row r="859" spans="10:10" x14ac:dyDescent="0.45">
      <c r="J859" s="12"/>
    </row>
    <row r="860" spans="10:10" x14ac:dyDescent="0.45">
      <c r="J860" s="12"/>
    </row>
    <row r="861" spans="10:10" x14ac:dyDescent="0.45">
      <c r="J861" s="12"/>
    </row>
    <row r="862" spans="10:10" x14ac:dyDescent="0.45">
      <c r="J862" s="12"/>
    </row>
    <row r="863" spans="10:10" x14ac:dyDescent="0.45">
      <c r="J863" s="12"/>
    </row>
    <row r="864" spans="10:10" x14ac:dyDescent="0.45">
      <c r="J864" s="12"/>
    </row>
    <row r="865" spans="10:10" x14ac:dyDescent="0.45">
      <c r="J865" s="12"/>
    </row>
    <row r="866" spans="10:10" x14ac:dyDescent="0.45">
      <c r="J866" s="12"/>
    </row>
    <row r="867" spans="10:10" x14ac:dyDescent="0.45">
      <c r="J867" s="12"/>
    </row>
    <row r="868" spans="10:10" x14ac:dyDescent="0.45">
      <c r="J868" s="12"/>
    </row>
    <row r="869" spans="10:10" x14ac:dyDescent="0.45">
      <c r="J869" s="12"/>
    </row>
    <row r="870" spans="10:10" x14ac:dyDescent="0.45">
      <c r="J870" s="12"/>
    </row>
    <row r="871" spans="10:10" x14ac:dyDescent="0.45">
      <c r="J871" s="12"/>
    </row>
    <row r="872" spans="10:10" x14ac:dyDescent="0.45">
      <c r="J872" s="12"/>
    </row>
    <row r="873" spans="10:10" x14ac:dyDescent="0.45">
      <c r="J873" s="12"/>
    </row>
    <row r="874" spans="10:10" x14ac:dyDescent="0.45">
      <c r="J874" s="12"/>
    </row>
    <row r="875" spans="10:10" x14ac:dyDescent="0.45">
      <c r="J875" s="12"/>
    </row>
    <row r="876" spans="10:10" x14ac:dyDescent="0.45">
      <c r="J876" s="12"/>
    </row>
    <row r="877" spans="10:10" x14ac:dyDescent="0.45">
      <c r="J877" s="12"/>
    </row>
    <row r="878" spans="10:10" x14ac:dyDescent="0.45">
      <c r="J878" s="12"/>
    </row>
    <row r="879" spans="10:10" x14ac:dyDescent="0.45">
      <c r="J879" s="12"/>
    </row>
    <row r="880" spans="10:10" x14ac:dyDescent="0.45">
      <c r="J880" s="12"/>
    </row>
    <row r="881" spans="10:10" x14ac:dyDescent="0.45">
      <c r="J881" s="12"/>
    </row>
    <row r="882" spans="10:10" x14ac:dyDescent="0.45">
      <c r="J882" s="12"/>
    </row>
    <row r="883" spans="10:10" x14ac:dyDescent="0.45">
      <c r="J883" s="12"/>
    </row>
    <row r="884" spans="10:10" x14ac:dyDescent="0.45">
      <c r="J884" s="12"/>
    </row>
    <row r="885" spans="10:10" x14ac:dyDescent="0.45">
      <c r="J885" s="12"/>
    </row>
    <row r="886" spans="10:10" x14ac:dyDescent="0.45">
      <c r="J886" s="12"/>
    </row>
    <row r="887" spans="10:10" x14ac:dyDescent="0.45">
      <c r="J887" s="12"/>
    </row>
    <row r="888" spans="10:10" x14ac:dyDescent="0.45">
      <c r="J888" s="12"/>
    </row>
    <row r="889" spans="10:10" x14ac:dyDescent="0.45">
      <c r="J889" s="12"/>
    </row>
    <row r="890" spans="10:10" x14ac:dyDescent="0.45">
      <c r="J890" s="12"/>
    </row>
    <row r="891" spans="10:10" x14ac:dyDescent="0.45">
      <c r="J891" s="12"/>
    </row>
    <row r="892" spans="10:10" x14ac:dyDescent="0.45">
      <c r="J892" s="12"/>
    </row>
    <row r="893" spans="10:10" x14ac:dyDescent="0.45">
      <c r="J893" s="12"/>
    </row>
    <row r="894" spans="10:10" x14ac:dyDescent="0.45">
      <c r="J894" s="12"/>
    </row>
    <row r="895" spans="10:10" x14ac:dyDescent="0.45">
      <c r="J895" s="12"/>
    </row>
    <row r="896" spans="10:10" x14ac:dyDescent="0.45">
      <c r="J896" s="12"/>
    </row>
    <row r="897" spans="10:10" x14ac:dyDescent="0.45">
      <c r="J897" s="12"/>
    </row>
    <row r="898" spans="10:10" x14ac:dyDescent="0.45">
      <c r="J898" s="12"/>
    </row>
    <row r="899" spans="10:10" x14ac:dyDescent="0.45">
      <c r="J899" s="12"/>
    </row>
    <row r="900" spans="10:10" x14ac:dyDescent="0.45">
      <c r="J900" s="12"/>
    </row>
    <row r="901" spans="10:10" x14ac:dyDescent="0.45">
      <c r="J901" s="12"/>
    </row>
    <row r="902" spans="10:10" x14ac:dyDescent="0.45">
      <c r="J902" s="12"/>
    </row>
    <row r="903" spans="10:10" x14ac:dyDescent="0.45">
      <c r="J903" s="12"/>
    </row>
    <row r="904" spans="10:10" x14ac:dyDescent="0.45">
      <c r="J904" s="12"/>
    </row>
    <row r="905" spans="10:10" x14ac:dyDescent="0.45">
      <c r="J905" s="12"/>
    </row>
    <row r="906" spans="10:10" x14ac:dyDescent="0.45">
      <c r="J906" s="12"/>
    </row>
    <row r="907" spans="10:10" x14ac:dyDescent="0.45">
      <c r="J907" s="12"/>
    </row>
    <row r="908" spans="10:10" x14ac:dyDescent="0.45">
      <c r="J908" s="12"/>
    </row>
    <row r="909" spans="10:10" x14ac:dyDescent="0.45">
      <c r="J909" s="12"/>
    </row>
    <row r="910" spans="10:10" x14ac:dyDescent="0.45">
      <c r="J910" s="12"/>
    </row>
    <row r="911" spans="10:10" x14ac:dyDescent="0.45">
      <c r="J911" s="12"/>
    </row>
    <row r="912" spans="10:10" x14ac:dyDescent="0.45">
      <c r="J912" s="12"/>
    </row>
    <row r="913" spans="10:10" x14ac:dyDescent="0.45">
      <c r="J913" s="12"/>
    </row>
    <row r="914" spans="10:10" x14ac:dyDescent="0.45">
      <c r="J914" s="12"/>
    </row>
    <row r="915" spans="10:10" x14ac:dyDescent="0.45">
      <c r="J915" s="12"/>
    </row>
    <row r="916" spans="10:10" x14ac:dyDescent="0.45">
      <c r="J916" s="12"/>
    </row>
    <row r="917" spans="10:10" x14ac:dyDescent="0.45">
      <c r="J917" s="12"/>
    </row>
    <row r="918" spans="10:10" x14ac:dyDescent="0.45">
      <c r="J918" s="12"/>
    </row>
    <row r="919" spans="10:10" x14ac:dyDescent="0.45">
      <c r="J919" s="12"/>
    </row>
    <row r="920" spans="10:10" x14ac:dyDescent="0.45">
      <c r="J920" s="12"/>
    </row>
    <row r="921" spans="10:10" x14ac:dyDescent="0.45">
      <c r="J921" s="12"/>
    </row>
    <row r="922" spans="10:10" x14ac:dyDescent="0.45">
      <c r="J922" s="12"/>
    </row>
    <row r="923" spans="10:10" x14ac:dyDescent="0.45">
      <c r="J923" s="12"/>
    </row>
    <row r="924" spans="10:10" x14ac:dyDescent="0.45">
      <c r="J924" s="12"/>
    </row>
    <row r="925" spans="10:10" x14ac:dyDescent="0.45">
      <c r="J925" s="12"/>
    </row>
    <row r="926" spans="10:10" x14ac:dyDescent="0.45">
      <c r="J926" s="12"/>
    </row>
    <row r="927" spans="10:10" x14ac:dyDescent="0.45">
      <c r="J927" s="12"/>
    </row>
    <row r="928" spans="10:10" x14ac:dyDescent="0.45">
      <c r="J928" s="12"/>
    </row>
    <row r="929" spans="10:10" x14ac:dyDescent="0.45">
      <c r="J929" s="12"/>
    </row>
    <row r="930" spans="10:10" x14ac:dyDescent="0.45">
      <c r="J930" s="12"/>
    </row>
    <row r="931" spans="10:10" x14ac:dyDescent="0.45">
      <c r="J931" s="12"/>
    </row>
    <row r="932" spans="10:10" x14ac:dyDescent="0.45">
      <c r="J932" s="12"/>
    </row>
    <row r="933" spans="10:10" x14ac:dyDescent="0.45">
      <c r="J933" s="12"/>
    </row>
    <row r="934" spans="10:10" x14ac:dyDescent="0.45">
      <c r="J934" s="12"/>
    </row>
    <row r="935" spans="10:10" x14ac:dyDescent="0.45">
      <c r="J935" s="12"/>
    </row>
    <row r="936" spans="10:10" x14ac:dyDescent="0.45">
      <c r="J936" s="12"/>
    </row>
    <row r="937" spans="10:10" x14ac:dyDescent="0.45">
      <c r="J937" s="12"/>
    </row>
    <row r="938" spans="10:10" x14ac:dyDescent="0.45">
      <c r="J938" s="12"/>
    </row>
    <row r="939" spans="10:10" x14ac:dyDescent="0.45">
      <c r="J939" s="12"/>
    </row>
    <row r="940" spans="10:10" x14ac:dyDescent="0.45">
      <c r="J940" s="12"/>
    </row>
    <row r="941" spans="10:10" x14ac:dyDescent="0.45">
      <c r="J941" s="12"/>
    </row>
    <row r="942" spans="10:10" x14ac:dyDescent="0.45">
      <c r="J942" s="12"/>
    </row>
    <row r="943" spans="10:10" x14ac:dyDescent="0.45">
      <c r="J943" s="12"/>
    </row>
    <row r="944" spans="10:10" x14ac:dyDescent="0.45">
      <c r="J944" s="12"/>
    </row>
    <row r="945" spans="10:10" x14ac:dyDescent="0.45">
      <c r="J945" s="12"/>
    </row>
    <row r="946" spans="10:10" x14ac:dyDescent="0.45">
      <c r="J946" s="12"/>
    </row>
    <row r="947" spans="10:10" x14ac:dyDescent="0.45">
      <c r="J947" s="12"/>
    </row>
    <row r="948" spans="10:10" x14ac:dyDescent="0.45">
      <c r="J948" s="12"/>
    </row>
    <row r="949" spans="10:10" x14ac:dyDescent="0.45">
      <c r="J949" s="12"/>
    </row>
    <row r="950" spans="10:10" x14ac:dyDescent="0.45">
      <c r="J950" s="12"/>
    </row>
    <row r="951" spans="10:10" x14ac:dyDescent="0.45">
      <c r="J951" s="12"/>
    </row>
    <row r="952" spans="10:10" x14ac:dyDescent="0.45">
      <c r="J952" s="12"/>
    </row>
    <row r="953" spans="10:10" x14ac:dyDescent="0.45">
      <c r="J953" s="12"/>
    </row>
    <row r="954" spans="10:10" x14ac:dyDescent="0.45">
      <c r="J954" s="12"/>
    </row>
    <row r="955" spans="10:10" x14ac:dyDescent="0.45">
      <c r="J955" s="12"/>
    </row>
    <row r="956" spans="10:10" x14ac:dyDescent="0.45">
      <c r="J956" s="12"/>
    </row>
    <row r="957" spans="10:10" x14ac:dyDescent="0.45">
      <c r="J957" s="12"/>
    </row>
    <row r="958" spans="10:10" x14ac:dyDescent="0.45">
      <c r="J958" s="12"/>
    </row>
    <row r="959" spans="10:10" x14ac:dyDescent="0.45">
      <c r="J959" s="12"/>
    </row>
    <row r="960" spans="10:10" x14ac:dyDescent="0.45">
      <c r="J960" s="12"/>
    </row>
    <row r="961" spans="10:10" x14ac:dyDescent="0.45">
      <c r="J961" s="12"/>
    </row>
    <row r="962" spans="10:10" x14ac:dyDescent="0.45">
      <c r="J962" s="12"/>
    </row>
    <row r="963" spans="10:10" x14ac:dyDescent="0.45">
      <c r="J963" s="12"/>
    </row>
    <row r="964" spans="10:10" x14ac:dyDescent="0.45">
      <c r="J964" s="12"/>
    </row>
    <row r="965" spans="10:10" x14ac:dyDescent="0.45">
      <c r="J965" s="12"/>
    </row>
    <row r="966" spans="10:10" x14ac:dyDescent="0.45">
      <c r="J966" s="12"/>
    </row>
    <row r="967" spans="10:10" x14ac:dyDescent="0.45">
      <c r="J967" s="12"/>
    </row>
    <row r="968" spans="10:10" x14ac:dyDescent="0.45">
      <c r="J968" s="12"/>
    </row>
    <row r="969" spans="10:10" x14ac:dyDescent="0.45">
      <c r="J969" s="12"/>
    </row>
    <row r="970" spans="10:10" x14ac:dyDescent="0.45">
      <c r="J970" s="12"/>
    </row>
    <row r="971" spans="10:10" x14ac:dyDescent="0.45">
      <c r="J971" s="12"/>
    </row>
    <row r="972" spans="10:10" x14ac:dyDescent="0.45">
      <c r="J972" s="12"/>
    </row>
    <row r="973" spans="10:10" x14ac:dyDescent="0.45">
      <c r="J973" s="12"/>
    </row>
    <row r="974" spans="10:10" x14ac:dyDescent="0.45">
      <c r="J974" s="12"/>
    </row>
    <row r="975" spans="10:10" x14ac:dyDescent="0.45">
      <c r="J975" s="12"/>
    </row>
    <row r="976" spans="10:10" x14ac:dyDescent="0.45">
      <c r="J976" s="12"/>
    </row>
    <row r="977" spans="10:10" x14ac:dyDescent="0.45">
      <c r="J977" s="12"/>
    </row>
    <row r="978" spans="10:10" x14ac:dyDescent="0.45">
      <c r="J978" s="12"/>
    </row>
    <row r="979" spans="10:10" x14ac:dyDescent="0.45">
      <c r="J979" s="12"/>
    </row>
    <row r="980" spans="10:10" x14ac:dyDescent="0.45">
      <c r="J980" s="12"/>
    </row>
    <row r="981" spans="10:10" x14ac:dyDescent="0.45">
      <c r="J981" s="12"/>
    </row>
    <row r="982" spans="10:10" x14ac:dyDescent="0.45">
      <c r="J982" s="12"/>
    </row>
    <row r="983" spans="10:10" x14ac:dyDescent="0.45">
      <c r="J983" s="12"/>
    </row>
    <row r="984" spans="10:10" x14ac:dyDescent="0.45">
      <c r="J984" s="12"/>
    </row>
    <row r="985" spans="10:10" x14ac:dyDescent="0.45">
      <c r="J985" s="12"/>
    </row>
    <row r="986" spans="10:10" x14ac:dyDescent="0.45">
      <c r="J986" s="12"/>
    </row>
    <row r="987" spans="10:10" x14ac:dyDescent="0.45">
      <c r="J987" s="12"/>
    </row>
    <row r="988" spans="10:10" x14ac:dyDescent="0.45">
      <c r="J988" s="12"/>
    </row>
    <row r="989" spans="10:10" x14ac:dyDescent="0.45">
      <c r="J989" s="12"/>
    </row>
    <row r="990" spans="10:10" x14ac:dyDescent="0.45">
      <c r="J990" s="12"/>
    </row>
    <row r="991" spans="10:10" x14ac:dyDescent="0.45">
      <c r="J991" s="12"/>
    </row>
    <row r="992" spans="10:10" x14ac:dyDescent="0.45">
      <c r="J992" s="12"/>
    </row>
    <row r="993" spans="10:10" x14ac:dyDescent="0.45">
      <c r="J993" s="12"/>
    </row>
    <row r="994" spans="10:10" x14ac:dyDescent="0.45">
      <c r="J994" s="12"/>
    </row>
    <row r="995" spans="10:10" x14ac:dyDescent="0.45">
      <c r="J995" s="12"/>
    </row>
    <row r="996" spans="10:10" x14ac:dyDescent="0.45">
      <c r="J996" s="12"/>
    </row>
    <row r="997" spans="10:10" x14ac:dyDescent="0.45">
      <c r="J997" s="12"/>
    </row>
    <row r="998" spans="10:10" x14ac:dyDescent="0.45">
      <c r="J998" s="12"/>
    </row>
    <row r="999" spans="10:10" x14ac:dyDescent="0.45">
      <c r="J999" s="12"/>
    </row>
    <row r="1000" spans="10:10" x14ac:dyDescent="0.45">
      <c r="J1000" s="12"/>
    </row>
  </sheetData>
  <autoFilter ref="A1:I307" xr:uid="{00000000-0009-0000-0000-000000000000}"/>
  <phoneticPr fontId="5" type="noConversion"/>
  <hyperlinks>
    <hyperlink ref="J307" r:id="rId1" xr:uid="{EF0CCDCF-44DF-4209-8EF1-FAF7DB5C0A10}"/>
    <hyperlink ref="J2" r:id="rId2" display="https://www.nhm.ac.uk/" xr:uid="{2C38313E-5347-4665-969B-A4049313DB1F}"/>
    <hyperlink ref="J3" r:id="rId3" display="https://wfvz.org/" xr:uid="{3A29E438-943E-4734-A4F5-986A21965842}"/>
    <hyperlink ref="J4" r:id="rId4" display="https://www.zfmk.de/" xr:uid="{20711427-2227-4DF7-B858-0094F952210F}"/>
    <hyperlink ref="J5" r:id="rId5" display="https://www.museumfuernaturkunde.berlin/" xr:uid="{9D9CF323-089F-4F22-A6FF-71EDD3F9C5B2}"/>
    <hyperlink ref="J6" r:id="rId6" display="https://www.nms.ac.uk/" xr:uid="{151102B7-3919-4F55-8AF9-642CF81B9352}"/>
    <hyperlink ref="J7" r:id="rId7" display="https://www.naturalis.nl/" xr:uid="{314919E4-51BF-41A3-8824-805231A239B8}"/>
    <hyperlink ref="J8" r:id="rId8" display="https://delmns.org/" xr:uid="{9A9AB608-FA85-4D8E-87B5-084CBBB1DFB0}"/>
    <hyperlink ref="J9" r:id="rId9" display="https://naturalhistory.si.edu/" xr:uid="{C85A6226-CE44-4B69-9A6B-F133AF3C7DC0}"/>
    <hyperlink ref="J10" r:id="rId10" display="https://www.luomus.fi/" xr:uid="{CB9A256E-6652-4BB6-AFC1-5408472717C8}"/>
    <hyperlink ref="J11" r:id="rId11" display="https://www.nrm.se/" xr:uid="{DD8D5251-31A3-4E82-AE93-BBC12F7F3619}"/>
    <hyperlink ref="J12" r:id="rId12" xr:uid="{917FDED8-9B8A-43B3-B90F-260ABE657829}"/>
    <hyperlink ref="J13" r:id="rId13" xr:uid="{41A7C5B2-D7E6-4DCE-B643-160F24E790E7}"/>
    <hyperlink ref="J14" r:id="rId14" xr:uid="{09664DC3-4964-44A3-823E-9A7A5788AAFD}"/>
    <hyperlink ref="J15" r:id="rId15" display="https://www.fieldmuseum.org/" xr:uid="{AE834FBA-55B3-45FC-A10E-DD9BE9AB63BC}"/>
    <hyperlink ref="J16" r:id="rId16" display="https://www.australianmuseum.net.au/" xr:uid="{80D292D9-7F79-4C53-83C9-6DE9B17D0A04}"/>
    <hyperlink ref="J17" r:id="rId17" display="https://www.3landesmuseen.de/" xr:uid="{53A4FC7A-99D0-46C2-B714-BC25C077844F}"/>
    <hyperlink ref="J18" r:id="rId18" xr:uid="{D339EC37-2984-46E3-A9E4-C3276555C51E}"/>
    <hyperlink ref="J19" r:id="rId19" xr:uid="{20A32808-DB4F-463D-BA8B-3CE3D86D40A6}"/>
    <hyperlink ref="J20" r:id="rId20" xr:uid="{7DFDD0B8-B788-48AB-9E72-E4CAD3560547}"/>
    <hyperlink ref="J21" r:id="rId21" display="https://www.amnh.org/" xr:uid="{BDE61E15-8651-408C-B2A9-71BACF213117}"/>
    <hyperlink ref="J22" r:id="rId22" display="https://www.senckenberg.de/" xr:uid="{A83EBDE5-6FD7-428C-BF1D-DE5A1A5A27D9}"/>
    <hyperlink ref="J23" r:id="rId23" display="https://www.royalalbertamuseum.ca/" xr:uid="{AF8FCE8F-F952-4FC3-A532-A1FC7D7E1389}"/>
    <hyperlink ref="J24" r:id="rId24" display="https://mvz.berkeley.edu/" xr:uid="{CA4982BF-143D-43D2-BBFC-C005BC15F806}"/>
    <hyperlink ref="J25" r:id="rId25" display="https://peabody.yale.edu/" xr:uid="{4EF31E43-D8FB-4C65-960B-169E3B6749A6}"/>
    <hyperlink ref="J26" r:id="rId26" display="https://www.nhm-wien.ac.at/" xr:uid="{CC3D0F74-A166-4A49-834C-58EE03B55945}"/>
    <hyperlink ref="J27" r:id="rId27" xr:uid="{3C962FEC-F2F2-42A9-BEFD-D5D42D167CD5}"/>
    <hyperlink ref="J29" r:id="rId28" display="https://www.uwgb.edu/" xr:uid="{DC06165E-8D90-455F-89A3-126D17A6EB8C}"/>
    <hyperlink ref="J30" r:id="rId29" display="https://www.landesmuseum-hannover.de/" xr:uid="{7581783D-FD4C-4BCD-BB9A-6F0703683E3B}"/>
    <hyperlink ref="J31" r:id="rId30" display="https://mcz.harvard.edu/" xr:uid="{BD4DEFC6-8E7E-4FF6-AFCA-D88F8511BC13}"/>
    <hyperlink ref="J32" r:id="rId31" display="https://www.museum.manchester.ac.uk/" xr:uid="{AA03BBB5-66CB-45D9-8193-30F021E4AB70}"/>
    <hyperlink ref="J33" r:id="rId32" display="https://www.rom.on.ca/" xr:uid="{A41C9F7B-4517-4A30-8F34-FA9525820653}"/>
    <hyperlink ref="J34" r:id="rId33" display="https://www.floridamuseum.ufl.edu/" xr:uid="{047BDDBF-4381-485F-94D8-EF5B8C50FC57}"/>
    <hyperlink ref="J35" r:id="rId34" display="https://www.naturkundemuseum-bw.de/" xr:uid="{4BBC8996-2CF3-4644-8066-BFC1B8652BD8}"/>
    <hyperlink ref="J36" r:id="rId35" xr:uid="{C3C31F64-E1CE-443D-B13F-71D02F8EE28E}"/>
    <hyperlink ref="J37" r:id="rId36" xr:uid="{5FE5F3EA-D747-4C7E-BB3C-412BF68E4EC8}"/>
    <hyperlink ref="J38" r:id="rId37" xr:uid="{49FF97B8-E685-4F3F-9C78-3DB2F2FD536C}"/>
    <hyperlink ref="J39" r:id="rId38" xr:uid="{E3062415-8261-4C40-88C5-E2B397D4028A}"/>
    <hyperlink ref="J40" r:id="rId39" display="https://greatnorthmuseum.org.uk/" xr:uid="{160AF23E-7BA0-4D07-93FD-FEB5729EA899}"/>
    <hyperlink ref="J41" r:id="rId40" xr:uid="{089A682B-0862-46EA-B239-46BC11A27085}"/>
    <hyperlink ref="J42" r:id="rId41" display="https://www.sbnature.org/" xr:uid="{ED993E2A-5BEE-4CFB-9D5A-116DD89719E0}"/>
    <hyperlink ref="J43" r:id="rId42" xr:uid="{1879E9D6-C999-4085-80CC-EAAF3DF9387B}"/>
    <hyperlink ref="J44" r:id="rId43" display="https://www.ditsong.org.za/" xr:uid="{4C8BDE58-F508-4A27-B71D-36B396F63E4E}"/>
    <hyperlink ref="J45" r:id="rId44" display="https://www.nmbe.ch/" xr:uid="{80730FDE-2E7B-48CA-B7E9-69A25548266B}"/>
    <hyperlink ref="J46" r:id="rId45" xr:uid="{7DFF857F-C22F-4CBF-A2F9-985AC932F7B0}"/>
    <hyperlink ref="J47" r:id="rId46" xr:uid="{C4B97B47-CAEA-49B9-8319-1DE935701A66}"/>
    <hyperlink ref="J48" r:id="rId47" xr:uid="{A2F58E72-A17A-470D-A8A7-B3799FFA6A34}"/>
    <hyperlink ref="J49" r:id="rId48" display="https://museum.wales/" xr:uid="{70DC7129-9859-4734-8CE7-C4EDA8032E2E}"/>
    <hyperlink ref="J50" r:id="rId49" display="https://www.museum.zoo.cam.ac.uk/" xr:uid="{772B9A52-8978-410F-AD3D-50CB3D6BF016}"/>
    <hyperlink ref="J51" r:id="rId50" xr:uid="{D58A8E5D-41A0-4E1D-B4C6-0F39AA67AEF2}"/>
    <hyperlink ref="J52" r:id="rId51" display="https://www.calacademy.org/" xr:uid="{B9DBD6E6-8818-4E7E-8506-9AAAAF55D01B}"/>
    <hyperlink ref="J53" r:id="rId52" xr:uid="{479C10FB-5851-484B-BAA1-1E304DA7BCBB}"/>
    <hyperlink ref="J54" r:id="rId53" xr:uid="{FB59B757-11A1-410E-AB62-DD653E88C504}"/>
    <hyperlink ref="J55" r:id="rId54" display="https://www.samuseum.sa.gov.au/" xr:uid="{7C5CE76D-7358-4BB7-B4DC-F4ABCABFF1B4}"/>
    <hyperlink ref="J56" r:id="rId55" display="https://museumsvictoria.com.au/" xr:uid="{3FAFABEB-9A18-4296-9AB0-248A78B81A47}"/>
    <hyperlink ref="J57" r:id="rId56" xr:uid="{61239945-B7F5-4BB9-A6D4-3F08D090F6CF}"/>
    <hyperlink ref="J58" r:id="rId57" display="https://www.umass.edu/" xr:uid="{2FF63480-E048-4433-AB08-C5EB30782D22}"/>
    <hyperlink ref="J59" r:id="rId58" display="https://www.meeresmuseum.de/" xr:uid="{EB642B2A-399C-4FEA-8CC3-919AD8D0880E}"/>
    <hyperlink ref="J60" r:id="rId59" display="https://www.nysm.nysed.gov/" xr:uid="{B44B691F-73E6-43B4-B033-7DA872433F71}"/>
    <hyperlink ref="J61" r:id="rId60" display="https://www.boltonlams.co.uk/" xr:uid="{3467C001-CC55-4516-B865-6A71C7F4AED3}"/>
    <hyperlink ref="J62" r:id="rId61" display="https://www.clemson.edu/" xr:uid="{87F6F2A0-88B7-483D-B636-0ECAF70F2187}"/>
    <hyperlink ref="J63" r:id="rId62" display="https://www.naturkundemuseum.leipzig.de/" xr:uid="{B5E22082-9D49-42DE-A27E-C5776C38D8FC}"/>
    <hyperlink ref="J64" r:id="rId63" display="https://www.senckenberg.de/" xr:uid="{20B40E08-82C9-4CA5-A7C1-06DF5317C21E}"/>
    <hyperlink ref="J65" r:id="rId64" display="https://www.nm.cz/" xr:uid="{8E89893D-F07F-49B0-934E-1F123724D652}"/>
    <hyperlink ref="J66" r:id="rId65" display="https://www.mnhn.fr/" xr:uid="{BBC1691A-C79B-40A6-9EF6-20CBD3E6AF1C}"/>
    <hyperlink ref="J67" r:id="rId66" xr:uid="{F915223D-F55D-4194-A2BB-F9DC657061D3}"/>
    <hyperlink ref="J68" r:id="rId67" display="https://www.readingmuseum.org.uk/" xr:uid="{6CD2E081-A227-4B39-B7DA-3E6E168EEA72}"/>
    <hyperlink ref="J69" r:id="rId68" xr:uid="{460949AD-835A-4646-B61C-9DB4AF29FD8E}"/>
    <hyperlink ref="J70" r:id="rId69" xr:uid="{5D30F181-159A-4471-AB73-76AD0F08445A}"/>
    <hyperlink ref="J71" r:id="rId70" display="https://www.burkemuseum.org/" xr:uid="{B7E3D66C-9E0C-407C-8D55-18A7FEA27421}"/>
    <hyperlink ref="J72" r:id="rId71" display="https://www.humboldt.org.co/" xr:uid="{E40D940A-9E21-4B23-8F11-072396631F09}"/>
    <hyperlink ref="J73" r:id="rId72" xr:uid="{113AD29A-7034-42DE-AD4F-C2F9AC2CA454}"/>
    <hyperlink ref="J74" r:id="rId73" display="https://www.nhm-rudolstadt.de/" xr:uid="{086C7DD7-EDA0-4645-BC3F-DA469F870B29}"/>
    <hyperlink ref="J75" r:id="rId74" display="https://www.illinoisstatemuseum.org/" xr:uid="{C9428D01-04CF-4156-9EAF-AD50391A43DF}"/>
    <hyperlink ref="J76" r:id="rId75" xr:uid="{EC81FCBC-DFE4-4403-9C8C-E101455C2809}"/>
    <hyperlink ref="J77" r:id="rId76" display="https://www.dmns.org/" xr:uid="{A48F09AC-C275-4553-943A-19269F311835}"/>
    <hyperlink ref="J78" r:id="rId77" xr:uid="{939CA8C7-8D4C-45BB-A46E-1CA60C0D9B74}"/>
    <hyperlink ref="J79" r:id="rId78" xr:uid="{B908215F-10D1-4780-A569-E0EEE403F18A}"/>
    <hyperlink ref="J80" r:id="rId79" display="https://www.mueritzeum.de/" xr:uid="{68879A95-25AD-4EB5-92B7-15129A544087}"/>
    <hyperlink ref="J81" r:id="rId80" xr:uid="{8175DED2-EF8C-4F35-AE5F-2E1B88419221}"/>
    <hyperlink ref="J83" r:id="rId81" display="https://www.charlestonmuseum.org/" xr:uid="{ED440609-97C3-4FB6-AE00-F0B5A8AF98B3}"/>
    <hyperlink ref="J84" r:id="rId82" display="https://samnoblemuseum.ou.edu/" xr:uid="{733EDFAB-B79A-4F7D-AC88-543EFACBE002}"/>
    <hyperlink ref="J85" r:id="rId83" xr:uid="{E7BBD58B-0CE9-4405-8F8B-94E4617CF2FD}"/>
    <hyperlink ref="J86" r:id="rId84" display="https://www.tulliehouse.co.uk/" xr:uid="{E8D18027-1CCB-47C8-BCA1-426A0CD3E160}"/>
    <hyperlink ref="J87" r:id="rId85" display="https://www.welderwildlife.org/" xr:uid="{4D4B79F9-D593-4CAC-8A01-B0633959F875}"/>
    <hyperlink ref="J88" r:id="rId86" display="https://www.uebersee-museum.de/" xr:uid="{7E2715BB-2F24-4E7E-A95C-9C32F2A206B3}"/>
    <hyperlink ref="J89" r:id="rId87" display="https://www.theherbert.org/" xr:uid="{7EBB27A5-C341-4D97-A1AC-A93C6454BD19}"/>
    <hyperlink ref="J90" r:id="rId88" xr:uid="{ADA5AA4D-81D0-4952-81E7-25D59A320829}"/>
    <hyperlink ref="J91" r:id="rId89" xr:uid="{F1AC4850-252C-4580-8CC1-9FCAFA09FF3B}"/>
    <hyperlink ref="J92" r:id="rId90" display="https://www.naturkunde-museum-coburg.de/" xr:uid="{30C175CF-615B-4733-8BB6-181DB807C66D}"/>
    <hyperlink ref="J93" r:id="rId91" display="https://museumsandgalleries.leeds.gov.uk/" xr:uid="{563D2EB6-7556-46BB-AD57-A90674CB2E3A}"/>
    <hyperlink ref="J94" r:id="rId92" display="https://www.isez.pan.krakow.pl/" xr:uid="{8B52977A-AC4A-4BAC-B61A-0C7E1758F1A8}"/>
    <hyperlink ref="J95" r:id="rId93" display="https://www.tulsazoo.org/" xr:uid="{EE9AE305-A360-4207-BBD7-45558EBC77B7}"/>
    <hyperlink ref="J96" r:id="rId94" xr:uid="{DA461459-4F48-4FA2-94EE-8326019FBB5F}"/>
    <hyperlink ref="J97" r:id="rId95" xr:uid="{3D08C7F2-99D4-413C-B0F2-CB28A3D925F3}"/>
    <hyperlink ref="J98" r:id="rId96" display="https://www.naturundmensch.de/" xr:uid="{5DA7E8ED-BEDD-4F2E-847B-EEE3C8F4811F}"/>
    <hyperlink ref="J99" r:id="rId97" xr:uid="{44E09F01-2635-4B28-BCDE-4CA1CE3C9F14}"/>
    <hyperlink ref="J100" r:id="rId98" xr:uid="{FD93C8A7-3FBA-4090-B92C-230BC44DB2AD}"/>
    <hyperlink ref="J102" r:id="rId99" display="https://mlbean.byu.edu/" xr:uid="{750E844B-1999-4112-B487-5F7A6AC5CF35}"/>
    <hyperlink ref="J103" r:id="rId100" display="https://www.bristolmuseums.org.uk/" xr:uid="{3E5B8D39-C086-4FDD-9562-05BFEE6E273A}"/>
    <hyperlink ref="J104" r:id="rId101" xr:uid="{A88F6B65-A6D5-4FC7-82CD-7CD05E631C6E}"/>
    <hyperlink ref="J105" r:id="rId102" display="https://www.senckenberg.de/" xr:uid="{0D0008B0-68BD-4292-B406-AE3347E8FA0C}"/>
    <hyperlink ref="J106" r:id="rId103" xr:uid="{4ECCAD3E-8841-405F-9F25-169326EBFC25}"/>
    <hyperlink ref="J107" r:id="rId104" display="https://www.unr.edu/" xr:uid="{0FF210CA-9AF1-4C56-B726-FC2CE2CE5532}"/>
    <hyperlink ref="J108" r:id="rId105" display="https://www.saffronwaldenmuseum.org/" xr:uid="{2A78EEBB-6102-452D-BAF9-0289C34C5197}"/>
    <hyperlink ref="J110" r:id="rId106" display="https://www.mpm.edu/" xr:uid="{D20FE161-2A0F-41F8-B218-8CC4926BACF2}"/>
    <hyperlink ref="J111" r:id="rId107" xr:uid="{B850BA8C-A51F-4C82-A32C-63CFDD37F30C}"/>
    <hyperlink ref="J112" r:id="rId108" display="https://www.vt.edu/" xr:uid="{B577B818-FC5D-42F6-80D9-E6007AE67CA5}"/>
    <hyperlink ref="J114" r:id="rId109" display="https://www.cmnh.org/" xr:uid="{B5AF784B-3F1B-432D-B79D-307553981260}"/>
    <hyperlink ref="J115" r:id="rId110" xr:uid="{9FBF0BC5-19F5-4218-BA3C-DF21ABC2E721}"/>
    <hyperlink ref="J116" r:id="rId111" xr:uid="{B352E4C5-0181-4271-AC4D-775666110F2A}"/>
    <hyperlink ref="J117" r:id="rId112" display="https://www.oumnh.ox.ac.uk/" xr:uid="{35566483-00D1-4448-8DE9-728D7E13CE2C}"/>
    <hyperlink ref="J118" r:id="rId113" xr:uid="{27FDB8DC-E2EC-4FD1-87FE-C86739CFFF25}"/>
    <hyperlink ref="J119" r:id="rId114" display="https://biodiversity.ku.edu/" xr:uid="{3FBCF1A8-4B18-4A63-98A8-5DE4236C12FB}"/>
    <hyperlink ref="J120" r:id="rId115" display="https://www.birds.cornell.edu/" xr:uid="{D51421E4-BEAF-46D8-BBF9-79AA4E4966BC}"/>
    <hyperlink ref="J121" r:id="rId116" xr:uid="{BB6DFFF5-6A66-4BE8-898D-891B8BBA959A}"/>
    <hyperlink ref="J122" r:id="rId117" display="https://www.museum.toulouse.fr/" xr:uid="{3A68202B-0E55-4C2C-BAA5-505D1A6F922A}"/>
    <hyperlink ref="J123" r:id="rId118" display="https://www.museum.qld.gov.au/" xr:uid="{BBCBB14E-4F94-46B5-9A95-A50A2971FB0C}"/>
    <hyperlink ref="J124" r:id="rId119" xr:uid="{9E9738C5-A9A0-4639-BBDC-0A92F5F51919}"/>
    <hyperlink ref="J125" r:id="rId120" xr:uid="{1022F794-13B8-4834-8A67-B5F92BB1F79A}"/>
    <hyperlink ref="J126" r:id="rId121" display="https://www.uark.edu/" xr:uid="{DFCB06AE-16AC-4320-BFAE-7D3BA64731EA}"/>
    <hyperlink ref="J127" r:id="rId122" display="https://www.museum.wa.gov.au/" xr:uid="{71E776FD-7EB0-4123-8A43-50A8D9374B6D}"/>
    <hyperlink ref="J128" r:id="rId123" display="https://www.sciencemuseum.org.uk/" xr:uid="{C9E0D3DB-94A1-4DBC-861F-51F8976CFE51}"/>
    <hyperlink ref="J129" r:id="rId124" display="https://www.africamuseum.be/" xr:uid="{7F2BC1B2-B8CF-43A7-AD5A-FC04508F2594}"/>
    <hyperlink ref="J130" r:id="rId125" xr:uid="{42FF65A2-0DD2-491C-8C7E-3209323D66AE}"/>
    <hyperlink ref="J131" r:id="rId126" display="https://www.rammuseum.org.uk/" xr:uid="{4AFA0EFD-3D93-4ED9-A970-896A003A0AB6}"/>
    <hyperlink ref="J132" r:id="rId127" display="https://cumuseum.colorado.edu/" xr:uid="{F764DD7B-75F4-4B57-B422-347C61D40AAF}"/>
    <hyperlink ref="J133" r:id="rId128" display="https://www.tau.ac.il/" xr:uid="{961CF022-DF69-4714-9864-4742DCF6C20F}"/>
    <hyperlink ref="J134" r:id="rId129" display="https://www.bellmuseum.umn.edu/" xr:uid="{5369A9BD-33FE-4483-A621-B50ED7511494}"/>
    <hyperlink ref="J135" r:id="rId130" display="https://www.zemaljskimuzej.ba/" xr:uid="{7FAA3420-6A68-40A4-ACA4-CA5C596359B4}"/>
    <hyperlink ref="J136" r:id="rId131" display="https://www.museum.unl.edu/" xr:uid="{5A9DFE64-171B-4D1F-9914-6E041FB59AEA}"/>
    <hyperlink ref="J137" r:id="rId132" display="https://www.museumfuernaturkunde.berlin/" xr:uid="{37268C27-2AD5-42E3-9515-96941A3BFE31}"/>
    <hyperlink ref="J138" r:id="rId133" display="https://www.ebd.csic.es/" xr:uid="{BD9FAB5A-16CC-4477-84C1-72780C935057}"/>
    <hyperlink ref="J139" r:id="rId134" display="https://www.muzeum.bytom.pl/" xr:uid="{FE5772FB-88A6-43EA-89CE-E461E44B7D66}"/>
    <hyperlink ref="J140" r:id="rId135" display="https://www.otagomuseum.nz/" xr:uid="{0016EFB6-63AB-4FBA-98CA-EF205AB1A719}"/>
    <hyperlink ref="J141" r:id="rId136" display="https://www.naturkundemuseum-bw.de/" xr:uid="{1406F8F9-648F-42DF-A146-C1A7C21B2ED6}"/>
    <hyperlink ref="J142" r:id="rId137" display="https://www.museum-westlausitz.de/" xr:uid="{80B80A44-3E1D-48C8-8D27-2D41D2B49B6B}"/>
    <hyperlink ref="J143" r:id="rId138" display="https://www.antipa.ro/" xr:uid="{F145A0C8-8879-4B93-9017-80A96BFE46B9}"/>
    <hyperlink ref="J144" r:id="rId139" display="https://www.vsmuzeum.sk/" xr:uid="{E3606FCC-84B9-472A-BF37-579FBF6E73E9}"/>
    <hyperlink ref="J145" r:id="rId140" display="https://naturalhistory.si.edu/" xr:uid="{3624C16D-DD89-4895-9E1B-F3C8FCF30E1E}"/>
    <hyperlink ref="J146" r:id="rId141" display="https://www.naturemuseum.org/" xr:uid="{4794647B-35A9-4E11-828A-2BCB006369BE}"/>
    <hyperlink ref="J147" r:id="rId142" display="https://www.aucklandmuseum.com/" xr:uid="{595FDC3C-46C6-41A0-887F-4D69D1154152}"/>
    <hyperlink ref="J148" r:id="rId143" xr:uid="{E927971B-3A64-4BAA-BF6A-0CA59E386A7B}"/>
    <hyperlink ref="J149" r:id="rId144" display="https://www.ccmuseum.com/" xr:uid="{25EC264E-525F-4F83-AC9C-E844C67FC2F8}"/>
    <hyperlink ref="J150" r:id="rId145" xr:uid="{1A19A9A9-4ECA-48B0-9552-AC3885A0C0C4}"/>
    <hyperlink ref="J151" r:id="rId146" display="https://www.tepapa.govt.nz/" xr:uid="{7F937EE1-46DC-4F33-9F9A-94C8830E0433}"/>
    <hyperlink ref="J152" r:id="rId147" display="https://www.museum-wiesbaden.de/" xr:uid="{138D81E3-3D2C-4274-9634-D1303404C1EC}"/>
    <hyperlink ref="J153" r:id="rId148" xr:uid="{F7130F22-3BB7-4575-AE37-810F52FF8A0D}"/>
    <hyperlink ref="J154" r:id="rId149" display="https://www.macnconicet.gob.ar/" xr:uid="{16195D03-7008-4E32-B5EF-EC2C2B2E75D2}"/>
    <hyperlink ref="J155" r:id="rId150" display="https://www.museunacional.ufrj.br/" xr:uid="{4DCE007D-E434-4CC0-BFCA-96D6ADA0B89D}"/>
    <hyperlink ref="J156" r:id="rId151" display="https://www.darwinmuseum.ru/" xr:uid="{91BCBD7D-6A0D-4178-AECD-290E07E3BF1D}"/>
    <hyperlink ref="J157" r:id="rId152" display="https://www.birminghammuseums.org.uk/" xr:uid="{887E5237-F75D-4861-955A-48955833E80C}"/>
    <hyperlink ref="J158" r:id="rId153" display="https://mnh.uiowa.edu/" xr:uid="{AD963DC0-6A93-458A-9E0B-AF4A9F48B397}"/>
    <hyperlink ref="J159" r:id="rId154" display="https://www.fairbanksmuseum.org/" xr:uid="{E3B878BE-D8C7-42CE-9287-39BE0C360F88}"/>
    <hyperlink ref="J160" r:id="rId155" display="https://mnch.uoregon.edu/" xr:uid="{4B11832B-7380-4C0B-90E0-5347AF899E3C}"/>
    <hyperlink ref="J161" r:id="rId156" xr:uid="{AAE0401E-8394-43F6-8650-198557C8F16A}"/>
    <hyperlink ref="J162" r:id="rId157" xr:uid="{316AD0FF-C9B4-4C14-B167-86C20A29D9BA}"/>
    <hyperlink ref="J163" r:id="rId158" xr:uid="{95D52DDC-07A5-4359-AC33-BEDADDBBD45A}"/>
    <hyperlink ref="J165" r:id="rId159" display="https://www.arizona.edu/" xr:uid="{1A9AF8AB-8B2E-486C-ABEF-8E89F532151B}"/>
    <hyperlink ref="J166" r:id="rId160" xr:uid="{C9976AB7-C793-4143-A3FF-4743F1C36192}"/>
    <hyperlink ref="J167" r:id="rId161" display="https://www.mos.org/" xr:uid="{E9A22395-F68E-4D38-8A28-B4F84DA24B84}"/>
    <hyperlink ref="J168" r:id="rId162" xr:uid="{6F081D5C-454E-4809-99EF-AA047F930ACE}"/>
    <hyperlink ref="J169" r:id="rId163" xr:uid="{515E1E73-EC0A-4C93-8EBD-93F39B24A6F4}"/>
    <hyperlink ref="J170" r:id="rId164" display="https://www.qvmag.tas.gov.au/" xr:uid="{4DBCAAE3-1DE7-4852-A407-6ECBC7A42E27}"/>
    <hyperlink ref="J171" r:id="rId165" display="https://www.zsm.mwn.de/" xr:uid="{4D9BC638-9489-4B3A-A4D9-332273B1327C}"/>
    <hyperlink ref="J172" r:id="rId166" xr:uid="{9FE0A72D-5674-4156-A326-624F9E13224B}"/>
    <hyperlink ref="J173" r:id="rId167" display="https://www.lillo.org.ar/" xr:uid="{2356411A-D3D2-4617-9626-9F9F1A573EA5}"/>
    <hyperlink ref="J174" r:id="rId168" display="https://www.muzeumbardejov.sk/" xr:uid="{D47AB8E5-F5E5-41EF-80FD-AF4A0F07EEBB}"/>
    <hyperlink ref="J175" r:id="rId169" xr:uid="{2F93B1A0-EA5B-4DE7-9594-31D6EBBFC850}"/>
    <hyperlink ref="J176" r:id="rId170" display="https://biodiversity.uconn.edu/" xr:uid="{640BEAAC-5F24-431D-9AA7-A3E26F80A9DA}"/>
    <hyperlink ref="J177" r:id="rId171" display="https://www.wisc.edu/" xr:uid="{20FE0970-91CD-4666-9944-ECB87FCEFA7A}"/>
    <hyperlink ref="J178" r:id="rId172" display="https://www.usask.ca/" xr:uid="{260B6A1D-515A-4EEB-9EE8-58525D87FD43}"/>
    <hyperlink ref="J180" r:id="rId173" display="https://inhs.illinois.edu/" xr:uid="{73AD0B2A-60F8-4E04-A71A-C03B968B28A0}"/>
    <hyperlink ref="J181" r:id="rId174" display="https://www.unm.edu/" xr:uid="{8BC9D99A-35A1-4D74-9E50-5696E0B91416}"/>
    <hyperlink ref="J182" r:id="rId175" display="https://www.museedesconfluences.fr/" xr:uid="{8D54CD84-822F-4F24-8551-64C80FA83AA8}"/>
    <hyperlink ref="J183" r:id="rId176" display="https://statemuseumpa.org/" xr:uid="{048C60A9-CBE8-4BD3-B249-E0986222E4F0}"/>
    <hyperlink ref="J184" r:id="rId177" display="https://www.sewanee.edu/" xr:uid="{62EB89A4-F6DD-4A9F-AE53-29A0E23D2EBB}"/>
    <hyperlink ref="J185" r:id="rId178" xr:uid="{02CF60E8-E66F-48CA-8C3C-818C9F9FAFFF}"/>
    <hyperlink ref="J186" r:id="rId179" display="https://www.humboldt.edu/" xr:uid="{5C398E96-2F64-4524-90FF-BE93F3B400A8}"/>
    <hyperlink ref="J187" r:id="rId180" xr:uid="{DE433EF3-4CF6-42C2-90D2-0A31F70069E1}"/>
    <hyperlink ref="J188" r:id="rId181" display="https://www.phyletisches-museum.uni-jena.de/" xr:uid="{229A1A18-25A9-43ED-9A74-09772589D235}"/>
    <hyperlink ref="J189" r:id="rId182" display="https://www.yorkshiremuseum.org.uk/" xr:uid="{42C59EBA-BB48-44D7-8E9F-560B0CB024CE}"/>
    <hyperlink ref="J190" r:id="rId183" display="https://www.sciencebuff.org/" xr:uid="{A7F32D9B-B61B-4D85-A09D-6A9FE659CA50}"/>
    <hyperlink ref="J191" r:id="rId184" display="https://www.naturkundemuseum-bw.de/" xr:uid="{66FA873D-67AB-40EE-BAB2-D709531CA81F}"/>
    <hyperlink ref="J192" r:id="rId185" display="https://www.bellmuseum.umn.edu/" xr:uid="{78910859-4563-4B6A-B676-0CE4589710F4}"/>
    <hyperlink ref="J193" r:id="rId186" xr:uid="{0410CFC3-DC67-415F-8EEC-5A8BE1BADF42}"/>
    <hyperlink ref="J194" r:id="rId187" display="https://www.adams.edu/" xr:uid="{D711975A-689E-4787-88A9-48A8FFD71E4C}"/>
    <hyperlink ref="J195" r:id="rId188" xr:uid="{C239FAFB-A5F3-48B9-884C-C8BA1E1E3293}"/>
    <hyperlink ref="J196" r:id="rId189" xr:uid="{02EEDBD9-96C5-4962-9098-63900038642C}"/>
    <hyperlink ref="J197" r:id="rId190" xr:uid="{482287D0-C8CE-4260-8408-3C1CDAC812F2}"/>
    <hyperlink ref="J198" r:id="rId191" display="https://www.unb.br/" xr:uid="{BC10B19A-E9B1-40D7-B7A0-B7A98818D9C9}"/>
    <hyperlink ref="J199" r:id="rId192" display="https://www.brukenthalmuseum.ro/" xr:uid="{0FA0A20A-3225-4CEB-ACA0-874C595682FB}"/>
    <hyperlink ref="J200" r:id="rId193" xr:uid="{71D8B9BB-731B-4F54-993A-5CBB08440E7A}"/>
    <hyperlink ref="J201" r:id="rId194" display="https://www.museo.fcnym.unlp.edu.ar/" xr:uid="{A10BCD43-3EB3-425B-856C-2F2072DE0A6B}"/>
    <hyperlink ref="J202" r:id="rId195" display="https://www.uni-tuebingen.de/" xr:uid="{9A5A8E2F-4779-4590-A785-40D803706EF0}"/>
    <hyperlink ref="J203" r:id="rId196" xr:uid="{3FC66E2C-1A01-4A55-A2E9-FF562819816D}"/>
    <hyperlink ref="J204" r:id="rId197" xr:uid="{CDCF9738-80CF-4172-BB83-8D82FA9BC69C}"/>
    <hyperlink ref="J205" r:id="rId198" display="https://www.bates.edu/" xr:uid="{C118157D-71BE-4864-AFAB-34321E53E7CC}"/>
    <hyperlink ref="J206" r:id="rId199" xr:uid="{3E9EA6BD-DAC3-464D-BD7D-70125664B758}"/>
    <hyperlink ref="J207" r:id="rId200" display="https://www.rmsc.org/" xr:uid="{42E099E3-49E6-4A5D-8EF5-00CA1B4E546B}"/>
    <hyperlink ref="J208" r:id="rId201" display="https://www.miami.edu/" xr:uid="{4CD84ED6-B2AE-4B84-AC4A-1E3B9C2F39FE}"/>
    <hyperlink ref="J209" r:id="rId202" display="https://www.puc.edu/" xr:uid="{A474C85A-8206-4191-B20F-2DD07B973624}"/>
    <hyperlink ref="J210" r:id="rId203" xr:uid="{1C0969E0-37F9-498C-A6B6-05E5DF44B8A5}"/>
    <hyperlink ref="J211" r:id="rId204" display="https://www.museocostarica.go.cr/" xr:uid="{6A6186BC-20A4-4D12-A7DE-A927331AE542}"/>
    <hyperlink ref="J212" r:id="rId205" xr:uid="{B7D0E223-6F15-4B06-86E0-3CBBBC85B199}"/>
    <hyperlink ref="J213" r:id="rId206" xr:uid="{7478D928-2004-4E0C-9632-AC49461C3AF2}"/>
    <hyperlink ref="J214" r:id="rId207" xr:uid="{6E00A0A5-E858-4DBE-969C-98C026FB751B}"/>
    <hyperlink ref="J215" r:id="rId208" display="https://www.nhmmaastricht.nl/" xr:uid="{BB226BDB-50A9-43CE-A855-14C5C524FA4A}"/>
    <hyperlink ref="J216" r:id="rId209" display="https://www.etsu.edu/" xr:uid="{32FCDB6B-2E70-414D-A356-8C4A6FC734D6}"/>
    <hyperlink ref="J217" r:id="rId210" display="https://www.uwsp.edu/" xr:uid="{BCE15A5F-63A9-4BCD-9992-F24CF57155A9}"/>
    <hyperlink ref="J218" r:id="rId211" display="https://www.royalsaskmuseum.ca/" xr:uid="{E3F109AF-7738-49EA-8FC1-6EA400E9B6DA}"/>
    <hyperlink ref="J219" r:id="rId212" display="https://www.tmag.tas.gov.au/" xr:uid="{65D428F3-272E-49E0-8C00-D1E4623559B8}"/>
    <hyperlink ref="J220" r:id="rId213" xr:uid="{02E7E700-C8C8-4515-9D1D-589CEBDF276E}"/>
    <hyperlink ref="J221" r:id="rId214" display="https://www.zzps.rs/" xr:uid="{C2569F0B-0E76-4ADD-961C-CB1019916EE0}"/>
    <hyperlink ref="J222" r:id="rId215" xr:uid="{2E1E5A5D-47FD-462B-8420-7B6C83E99657}"/>
    <hyperlink ref="J223" r:id="rId216" display="https://www.coe.edu/" xr:uid="{8EA2F305-0B83-4114-BB9C-D0B3B1549F71}"/>
    <hyperlink ref="J224" r:id="rId217" xr:uid="{D7D3FE50-20C8-4031-856B-2867C7574B2A}"/>
    <hyperlink ref="J225" r:id="rId218" display="https://www.pem.org/" xr:uid="{1069F33E-DBE7-4A5E-BAF4-7F46145F6032}"/>
    <hyperlink ref="J226" r:id="rId219" display="https://www.isu.edu/" xr:uid="{7D0CE334-DB82-438E-A095-6F0B31BD97CB}"/>
    <hyperlink ref="J227" r:id="rId220" display="https://museum.novascotia.ca/" xr:uid="{B4462A1B-AAA8-4C1C-A9E6-7A0C3E81E2B2}"/>
    <hyperlink ref="J228" r:id="rId221" xr:uid="{5B0CB8E2-199D-453E-A94E-25C75374BDFE}"/>
    <hyperlink ref="J229" r:id="rId222" display="https://www.fsu.edu/" xr:uid="{5731CF35-7574-4FBC-BE8C-4208174451DF}"/>
    <hyperlink ref="J230" r:id="rId223" display="https://www.umaine.edu/" xr:uid="{9C400C61-9DA9-41E7-90B1-9844AC1C9542}"/>
    <hyperlink ref="J231" r:id="rId224" display="https://www.museum-joanneum.at/" xr:uid="{76505AFF-B66E-4487-BAFE-FCD2DB423415}"/>
    <hyperlink ref="J232" r:id="rId225" display="https://www.msn.unifi.it/" xr:uid="{590211C3-CB8A-4741-BAEB-1505240FAA3D}"/>
    <hyperlink ref="J233" r:id="rId226" display="https://www.putnam.org/" xr:uid="{52D48778-4E9C-4F5F-9B58-393E37D706DD}"/>
    <hyperlink ref="J234" r:id="rId227" xr:uid="{2531199A-01B7-47B2-BED7-2330CBE9FEAF}"/>
    <hyperlink ref="J235" r:id="rId228" display="https://www.manitobamuseum.ca/" xr:uid="{44D15252-8E09-44E8-8F76-1DA20FD0A055}"/>
    <hyperlink ref="J236" r:id="rId229" xr:uid="{C79C669E-532C-438B-AC4A-AA8DB94EF705}"/>
    <hyperlink ref="J237" r:id="rId230" display="https://www.utm.edu/" xr:uid="{5C545861-095B-4257-BEF1-5A91E4D6FDFE}"/>
    <hyperlink ref="J239" r:id="rId231" xr:uid="{8D1E9243-2C95-40D0-A218-2E5B42D4AA39}"/>
    <hyperlink ref="J240" r:id="rId232" xr:uid="{5D451516-2728-4EC0-82BE-323E8B066B24}"/>
    <hyperlink ref="J241" r:id="rId233" xr:uid="{49396B43-FF84-4A75-9A18-F3B5C6B09689}"/>
    <hyperlink ref="J242" r:id="rId234" xr:uid="{B5FC5FCA-A2D5-4445-9104-2C65691E533D}"/>
    <hyperlink ref="J243" r:id="rId235" xr:uid="{9A40CBD9-2255-447C-9B2B-F0C4A2101062}"/>
    <hyperlink ref="J244" r:id="rId236" display="https://www.mnhn.lu/" xr:uid="{D2221EDF-1A1D-4BF2-9BEC-EDFAE9B49974}"/>
    <hyperlink ref="J245" r:id="rId237" display="https://www.southendmuseums.co.uk/" xr:uid="{91E058EC-1B43-492D-935A-D34A7E5E9C17}"/>
    <hyperlink ref="J246" r:id="rId238" display="https://museum.msu.edu/" xr:uid="{B8A83841-34DA-4036-9C85-980AF5CC313F}"/>
    <hyperlink ref="J247" r:id="rId239" display="https://www.msstate.edu/" xr:uid="{82D62DE5-E73A-4FA6-B806-4ECDE9E57EA5}"/>
    <hyperlink ref="J248" r:id="rId240" display="https://www.ecotarium.org/" xr:uid="{745F7214-BCEF-4785-9CCE-222910378700}"/>
    <hyperlink ref="J249" r:id="rId241" display="https://www.fortworthmuseum.org/" xr:uid="{113AD817-E3D2-4CC4-90FE-C40AF105F8A4}"/>
    <hyperlink ref="J250" r:id="rId242" xr:uid="{B388FA25-4308-4D0C-897D-8E0F24A2CD7F}"/>
    <hyperlink ref="J251" r:id="rId243" xr:uid="{1E5D37ED-DD27-4982-A93A-BA696B4A8168}"/>
    <hyperlink ref="J252" r:id="rId244" display="https://www.calstate.edu/" xr:uid="{94A40C82-AFEE-4A67-BDED-0FF460997EA3}"/>
    <hyperlink ref="J253" r:id="rId245" display="https://www.sfasu.edu/" xr:uid="{DE58F494-F22A-40DE-AF93-75E92DA10BA4}"/>
    <hyperlink ref="J254" r:id="rId246" display="https://www.wallawalla.edu/" xr:uid="{7E2760B3-7353-43E4-83C2-C21109B44C3C}"/>
    <hyperlink ref="J255" r:id="rId247" display="https://www.museum-grenoble.fr/" xr:uid="{06375DDE-5C81-4C8F-91B1-4576EC200E73}"/>
    <hyperlink ref="J256" r:id="rId248" display="https://www.vmo.cz/" xr:uid="{22FA1BE5-401A-4A03-8210-222F0D33AA1D}"/>
    <hyperlink ref="J257" r:id="rId249" display="https://www.canterburymuseum.com/" xr:uid="{3A98C5EE-75CC-4DC2-9AA8-551781A99252}"/>
    <hyperlink ref="J258" r:id="rId250" display="https://naturalhistory.si.edu/" xr:uid="{3521C4CE-08CE-4548-BC3C-6DC75AF7893F}"/>
    <hyperlink ref="J259" r:id="rId251" display="https://www.cincymuseum.org/" xr:uid="{7D8F216B-15AA-4408-A2B4-A49421DBFFDB}"/>
    <hyperlink ref="J260" r:id="rId252" display="https://www.colostate.edu/" xr:uid="{6CCF9BC0-F242-489D-9B20-F5FB1798D4D2}"/>
    <hyperlink ref="J261" r:id="rId253" xr:uid="{0DDAFC51-D1EE-4C93-AF40-F5C642BE60BF}"/>
    <hyperlink ref="J262" r:id="rId254" xr:uid="{32EEDB0A-7151-431F-84C3-0A78FEDE1565}"/>
    <hyperlink ref="J263" r:id="rId255" display="https://www.mauritianum.de/" xr:uid="{6FBD19DD-4C7A-4D88-869E-43EB72C7EC79}"/>
    <hyperlink ref="J264" r:id="rId256" display="https://www.swanseamuseum.co.uk/" xr:uid="{57DCCF63-8A62-492A-96AF-570E84BB909E}"/>
    <hyperlink ref="J265" r:id="rId257" display="https://www.almnh.ua.edu/" xr:uid="{C068A00A-DCC4-4035-8523-6746CA864AD2}"/>
    <hyperlink ref="J266" r:id="rId258" display="https://www.wagnerfreeinstitute.org/" xr:uid="{64497D0B-6510-42BD-B7B7-0D9BB98CF7E1}"/>
    <hyperlink ref="J267" r:id="rId259" display="https://www.minotstateu.edu/" xr:uid="{9D0D290A-9FED-4765-A6AC-5C98AA77372B}"/>
    <hyperlink ref="J268" r:id="rId260" display="https://www.sdstate.edu/" xr:uid="{C24E4273-E6AE-43DE-83F7-1CD2479959B3}"/>
    <hyperlink ref="J269" r:id="rId261" xr:uid="{0B8448FA-7289-4CA3-B5C1-83F0B1D87D41}"/>
    <hyperlink ref="J270" r:id="rId262" display="https://www.muzeumkarkonoskie.pl/" xr:uid="{76DF9BCA-1086-43A3-888D-EA4CF3C64AAF}"/>
    <hyperlink ref="J271" r:id="rId263" display="https://www.yamashina.or.jp/" xr:uid="{C19152A4-18D9-4BCA-959F-70F3EEEC82CA}"/>
    <hyperlink ref="J272" r:id="rId264" display="https://www.zin.ru/" xr:uid="{A26E8488-3D3F-4AF3-A04E-6E3B82AE766C}"/>
    <hyperlink ref="J273" r:id="rId265" display="https://www.mncn.csic.es/" xr:uid="{22E4EB05-6F6E-413B-9BFA-106C4F366B9F}"/>
    <hyperlink ref="J274" r:id="rId266" xr:uid="{30EF0216-4DCF-4DEF-9FB2-D12D0446F9FA}"/>
    <hyperlink ref="J275" r:id="rId267" xr:uid="{C073D101-2D7F-45F6-A0DA-A863FDA369AC}"/>
    <hyperlink ref="J276" r:id="rId268" display="https://www.tatmuseum.ru/" xr:uid="{57821D00-179E-4411-9334-1BEFDCD95D06}"/>
    <hyperlink ref="J277" r:id="rId269" xr:uid="{B23BA6AF-5030-4672-AE53-B858A3CE2759}"/>
    <hyperlink ref="J278" r:id="rId270" xr:uid="{B80C12A0-CC36-4F71-B8DC-3870A2C5D9EA}"/>
    <hyperlink ref="J279" r:id="rId271" xr:uid="{839C1841-FCD3-420D-9B66-5BFAA0CC713B}"/>
    <hyperlink ref="J280" r:id="rId272" xr:uid="{6DAD7A54-7AB2-48AF-AE4D-85F43C33D288}"/>
    <hyperlink ref="J281" r:id="rId273" display="https://www.aquasis.org/" xr:uid="{41B6D3E9-EAEF-4ACC-871B-4B525EA4CF11}"/>
    <hyperlink ref="J282" r:id="rId274" xr:uid="{4AC02F27-FDC2-43BD-A6C0-82B95B52FB53}"/>
    <hyperlink ref="J284" r:id="rId275" xr:uid="{7F41AEC3-34E9-4D61-8FA6-772A8C8AAD00}"/>
    <hyperlink ref="J286" r:id="rId276" xr:uid="{AFF4431E-8997-4736-AF92-991E2E333F21}"/>
    <hyperlink ref="J287" r:id="rId277" xr:uid="{318600E6-E37C-463D-ABD6-31CBE8CF2EDE}"/>
    <hyperlink ref="J288" r:id="rId278" xr:uid="{96319E3F-6980-48B5-B547-3B244FDF064F}"/>
    <hyperlink ref="J289" r:id="rId279" xr:uid="{659403E8-C58D-4AB2-8CB5-39C5A149E45F}"/>
    <hyperlink ref="J290" r:id="rId280" xr:uid="{B084A831-C16D-4947-BACF-57934931CCC1}"/>
    <hyperlink ref="J291" r:id="rId281" xr:uid="{CC41AA84-81F3-4495-BA53-99E4F8A1D257}"/>
    <hyperlink ref="J292" r:id="rId282" xr:uid="{C2B90B6A-6A51-462B-9FB1-D9A8193827E2}"/>
    <hyperlink ref="J293" r:id="rId283" display="https://www.mnhn.cl/" xr:uid="{2E1A73C1-7D42-40D4-BE4E-B48DBEE29B46}"/>
    <hyperlink ref="J295" r:id="rId284" xr:uid="{6EF55572-511F-4DBD-AA5D-27884B6E528A}"/>
    <hyperlink ref="J296" r:id="rId285" xr:uid="{AB5D8B02-5010-421F-8B19-40E928610558}"/>
    <hyperlink ref="J297" r:id="rId286" xr:uid="{79CC35A4-1B9A-467C-80A4-E901679E5836}"/>
    <hyperlink ref="J299" r:id="rId287" display="https://www.magnt.net.au/" xr:uid="{BE273B34-F40C-4D07-B3EF-E1A5F16B5E9F}"/>
    <hyperlink ref="J301" r:id="rId288" xr:uid="{6D80630C-6C67-4FC7-9048-EB9E02E873E7}"/>
    <hyperlink ref="J302" r:id="rId289" xr:uid="{E0502669-408A-4C61-9F68-D6DA04AB90EE}"/>
    <hyperlink ref="J303" r:id="rId290" display="https://www.dmns.org/" xr:uid="{FAA46BD7-4043-4191-9A0A-FCB4ADD1CA5B}"/>
    <hyperlink ref="J305" r:id="rId291" display="https://samnoblemuseum.ou.edu/" xr:uid="{32AA8672-5C84-4ECE-AA75-5E4A93AB020A}"/>
    <hyperlink ref="J306" r:id="rId292" xr:uid="{BACF6E96-4C19-4F8D-84C8-9EEDDF276375}"/>
  </hyperlinks>
  <pageMargins left="0.7" right="0.7" top="0.75" bottom="0.75" header="0.3" footer="0.3"/>
  <pageSetup orientation="portrait" r:id="rId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Yiru</dc:creator>
  <cp:lastModifiedBy>薏如 鄭</cp:lastModifiedBy>
  <dcterms:created xsi:type="dcterms:W3CDTF">2024-06-17T05:57:47Z</dcterms:created>
  <dcterms:modified xsi:type="dcterms:W3CDTF">2026-05-15T10:20:24Z</dcterms:modified>
</cp:coreProperties>
</file>